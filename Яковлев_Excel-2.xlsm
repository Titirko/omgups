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showInkAnnotation="0" codeName="ЭтаКнига"/>
  <xr:revisionPtr revIDLastSave="0" documentId="13_ncr:1_{8A3918F4-AD57-411C-B762-991617F33581}" xr6:coauthVersionLast="47" xr6:coauthVersionMax="47" xr10:uidLastSave="{00000000-0000-0000-0000-000000000000}"/>
  <workbookProtection workbookAlgorithmName="SHA-512" workbookHashValue="Q2l8MNPpjivyjju7hrG4P5jRfWjSJJxcQS9GDyaiaFQ+36cLaz5BllQTmDdoOdwKWR9VCNzHrnqg5eVjlaXEuw==" workbookSaltValue="1LkzJI5n3RFzCNm6H4zAFw==" workbookSpinCount="100000" lockStructure="1"/>
  <bookViews>
    <workbookView xWindow="-108" yWindow="108" windowWidth="23256" windowHeight="12360" xr2:uid="{00000000-000D-0000-FFFF-FFFF00000000}"/>
  </bookViews>
  <sheets>
    <sheet name="СлужЛист" sheetId="6" r:id="rId1"/>
    <sheet name="РабЛист" sheetId="7" state="veryHidden" r:id="rId2"/>
    <sheet name="Лаб2_з1" sheetId="8" state="veryHidden" r:id="rId3"/>
    <sheet name="Лаб2-з2" sheetId="9" state="veryHidden" r:id="rId4"/>
    <sheet name="Лаб2-з3" sheetId="10" state="veryHidden" r:id="rId5"/>
    <sheet name="Лаб2-з4" sheetId="11" state="veryHidden" r:id="rId6"/>
  </sheets>
  <functionGroups builtInGroupCount="19"/>
  <definedNames>
    <definedName name="з">#REF!</definedName>
    <definedName name="_xlnm.Print_Area" localSheetId="0">СлужЛист!$A$1:$E$50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11" l="1"/>
  <c r="L9" i="11"/>
  <c r="M9" i="11"/>
  <c r="N9" i="11"/>
  <c r="K10" i="11"/>
  <c r="L10" i="11"/>
  <c r="M10" i="11"/>
  <c r="N10" i="11"/>
  <c r="K11" i="11"/>
  <c r="L11" i="11"/>
  <c r="M11" i="11"/>
  <c r="N11" i="11"/>
  <c r="L8" i="11"/>
  <c r="M8" i="11"/>
  <c r="N8" i="11"/>
  <c r="K8" i="11"/>
  <c r="F8" i="11" a="1"/>
  <c r="F8" i="11" s="1"/>
  <c r="A8" i="11" a="1"/>
  <c r="A8" i="11" s="1"/>
  <c r="Q2" i="11"/>
  <c r="D9" i="10"/>
  <c r="D10" i="10"/>
  <c r="D11" i="10"/>
  <c r="D12" i="10"/>
  <c r="D13" i="10"/>
  <c r="D14" i="10"/>
  <c r="D15" i="10"/>
  <c r="D16" i="10"/>
  <c r="D17" i="10"/>
  <c r="D8" i="10"/>
  <c r="C20" i="10"/>
  <c r="C18" i="10"/>
  <c r="C10" i="10"/>
  <c r="C11" i="10"/>
  <c r="C12" i="10" s="1"/>
  <c r="C13" i="10" s="1"/>
  <c r="C14" i="10" s="1"/>
  <c r="C15" i="10" s="1"/>
  <c r="C16" i="10" s="1"/>
  <c r="C17" i="10" s="1"/>
  <c r="C9" i="10"/>
  <c r="C8" i="10"/>
  <c r="H6" i="9"/>
  <c r="B4" i="9"/>
  <c r="C4" i="9"/>
  <c r="D4" i="9"/>
  <c r="E4" i="9"/>
  <c r="F4" i="9"/>
  <c r="G4" i="9"/>
  <c r="H4" i="9"/>
  <c r="I4" i="9"/>
  <c r="B5" i="9"/>
  <c r="C5" i="9"/>
  <c r="D5" i="9"/>
  <c r="E5" i="9"/>
  <c r="F5" i="9"/>
  <c r="G5" i="9"/>
  <c r="H5" i="9"/>
  <c r="I5" i="9"/>
  <c r="B6" i="9"/>
  <c r="C6" i="9"/>
  <c r="D6" i="9"/>
  <c r="E6" i="9"/>
  <c r="F6" i="9"/>
  <c r="G6" i="9"/>
  <c r="I6" i="9"/>
  <c r="B7" i="9"/>
  <c r="C7" i="9"/>
  <c r="D7" i="9"/>
  <c r="E7" i="9"/>
  <c r="F7" i="9"/>
  <c r="G7" i="9"/>
  <c r="H7" i="9"/>
  <c r="I7" i="9"/>
  <c r="B8" i="9"/>
  <c r="C8" i="9"/>
  <c r="D8" i="9"/>
  <c r="E8" i="9"/>
  <c r="F8" i="9"/>
  <c r="G8" i="9"/>
  <c r="H8" i="9"/>
  <c r="I8" i="9"/>
  <c r="B9" i="9"/>
  <c r="C9" i="9"/>
  <c r="D9" i="9"/>
  <c r="E9" i="9"/>
  <c r="F9" i="9"/>
  <c r="G9" i="9"/>
  <c r="H9" i="9"/>
  <c r="I9" i="9"/>
  <c r="B10" i="9"/>
  <c r="C10" i="9"/>
  <c r="D10" i="9"/>
  <c r="E10" i="9"/>
  <c r="F10" i="9"/>
  <c r="G10" i="9"/>
  <c r="H10" i="9"/>
  <c r="I10" i="9"/>
  <c r="B3" i="9"/>
  <c r="D3" i="9"/>
  <c r="E3" i="9"/>
  <c r="F3" i="9"/>
  <c r="G3" i="9"/>
  <c r="H3" i="9"/>
  <c r="I3" i="9"/>
  <c r="C3" i="9"/>
  <c r="C13" i="8"/>
  <c r="F8" i="8"/>
  <c r="F9" i="8"/>
  <c r="F10" i="8"/>
  <c r="F11" i="8"/>
  <c r="F12" i="8"/>
  <c r="F7" i="8"/>
  <c r="E12" i="8"/>
  <c r="E8" i="8"/>
  <c r="E9" i="8"/>
  <c r="E10" i="8"/>
  <c r="E11" i="8"/>
  <c r="E7" i="8"/>
  <c r="B1" i="8"/>
  <c r="B3" i="8" s="1"/>
  <c r="E2" i="8" s="1"/>
  <c r="E3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6" authorId="0" shapeId="0" xr:uid="{036EBFCB-DB23-4EC9-B579-6849C4A515C7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Яковлев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<sst xmlns="http://schemas.openxmlformats.org/spreadsheetml/2006/main" count="82" uniqueCount="63">
  <si>
    <t>Внимание! Для работы программы должны быть включены макросы и пройдена регистрация!</t>
  </si>
  <si>
    <t>gdf</t>
  </si>
  <si>
    <t>df</t>
  </si>
  <si>
    <t>Фамилия</t>
  </si>
  <si>
    <t>Имя</t>
  </si>
  <si>
    <t>Отчество</t>
  </si>
  <si>
    <t>Группа</t>
  </si>
  <si>
    <t>Шифр</t>
  </si>
  <si>
    <t>Вариант</t>
  </si>
  <si>
    <t>Хронология работы</t>
  </si>
  <si>
    <t>Имя компьютера</t>
  </si>
  <si>
    <t>Имя пользователя</t>
  </si>
  <si>
    <t>Начало работы</t>
  </si>
  <si>
    <t>Конец работы</t>
  </si>
  <si>
    <t>Время, мин.</t>
  </si>
  <si>
    <t>Яковлев</t>
  </si>
  <si>
    <t>Николай</t>
  </si>
  <si>
    <t>Игоревич</t>
  </si>
  <si>
    <t>22м</t>
  </si>
  <si>
    <t>22-2162</t>
  </si>
  <si>
    <t>14.11.2022 15:00:15</t>
  </si>
  <si>
    <t>Niky</t>
  </si>
  <si>
    <t>DESKTOP-3UMSO1N</t>
  </si>
  <si>
    <t>Я0739863</t>
  </si>
  <si>
    <t>Текущая дата</t>
  </si>
  <si>
    <t>Дата рождения</t>
  </si>
  <si>
    <t>Количество дней</t>
  </si>
  <si>
    <t>Юбилей</t>
  </si>
  <si>
    <t>Дата</t>
  </si>
  <si>
    <t>14.11.2022 15:08:52</t>
  </si>
  <si>
    <t>Платежи за коммунальные услуги</t>
  </si>
  <si>
    <t>Ресурс</t>
  </si>
  <si>
    <t>Ед. изм.</t>
  </si>
  <si>
    <t>Расход, ед. изм.</t>
  </si>
  <si>
    <t>Тариф, руб.</t>
  </si>
  <si>
    <t>Размер платежа, руб.</t>
  </si>
  <si>
    <t>Доля платежа, %</t>
  </si>
  <si>
    <t>Холодная вода</t>
  </si>
  <si>
    <r>
      <t>м</t>
    </r>
    <r>
      <rPr>
        <vertAlign val="superscript"/>
        <sz val="12"/>
        <color theme="1"/>
        <rFont val="Times New Roman"/>
        <family val="1"/>
        <charset val="204"/>
      </rPr>
      <t>3</t>
    </r>
  </si>
  <si>
    <t>Горячая вода</t>
  </si>
  <si>
    <t>Отопление</t>
  </si>
  <si>
    <t>Гкал</t>
  </si>
  <si>
    <t>Газ</t>
  </si>
  <si>
    <t>Электроэнергия</t>
  </si>
  <si>
    <t>кВт∙ч</t>
  </si>
  <si>
    <t>Всего</t>
  </si>
  <si>
    <t>Расчет с помощью функции СУММПРОИЗВ</t>
  </si>
  <si>
    <t>Таблица умножения</t>
  </si>
  <si>
    <t>Комп.</t>
  </si>
  <si>
    <t>ИВ</t>
  </si>
  <si>
    <t>x</t>
  </si>
  <si>
    <t>y(x)</t>
  </si>
  <si>
    <t>S=</t>
  </si>
  <si>
    <t>A=</t>
  </si>
  <si>
    <t>14.11.2022 18:58:04</t>
  </si>
  <si>
    <t>Обратная матрица</t>
  </si>
  <si>
    <t>Транспонированная матрица</t>
  </si>
  <si>
    <t>Исходная матрица</t>
  </si>
  <si>
    <t>14.11.2022 19:25:44</t>
  </si>
  <si>
    <t>14.11.2022 19:30:09</t>
  </si>
  <si>
    <t>Элементы в квадрате</t>
  </si>
  <si>
    <t>Определитель исходной матрицы</t>
  </si>
  <si>
    <t>14.11.2022 19:37:33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</si>
</sst>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1" x14ac:knownFonts="1">
    <font>
      <sz val="11"/>
      <color theme="1"/>
      <name val="Calibri"/>
      <family val="2"/>
      <scheme val="minor"/>
    </font>
    <font>
      <sz val="10"/>
      <name val="Arial Cyr"/>
      <charset val="204"/>
    </font>
    <font>
      <sz val="11"/>
      <color rgb="FF000000"/>
      <name val="Calibri"/>
      <family val="2"/>
      <charset val="204"/>
    </font>
    <font>
      <sz val="10"/>
      <color rgb="FFC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80008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scheme val="minor"/>
    </font>
    <font>
      <sz val="11"/>
      <color theme="1"/>
      <name val="Times New Roman"/>
      <family val="1"/>
      <charset val="204"/>
    </font>
    <font>
      <sz val="12"/>
      <color theme="1"/>
      <name val="Arial"/>
      <family val="2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vertAlign val="superscript"/>
      <sz val="12"/>
      <color theme="1"/>
      <name val="Times New Roman"/>
      <family val="1"/>
      <charset val="204"/>
    </font>
    <font>
      <sz val="12"/>
      <color rgb="FFC00000"/>
      <name val="Arial Narrow"/>
      <family val="2"/>
      <charset val="204"/>
    </font>
    <font>
      <b/>
      <sz val="11"/>
      <color theme="8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1"/>
      <color rgb="FFC00000"/>
      <name val="Calibri"/>
      <family val="2"/>
      <charset val="204"/>
      <scheme val="minor"/>
    </font>
    <font>
      <b/>
      <sz val="11"/>
      <color theme="4" tint="-0.499984740745262"/>
      <name val="Calibri"/>
      <family val="2"/>
      <charset val="204"/>
      <scheme val="minor"/>
    </font>
    <font>
      <sz val="11"/>
      <color theme="4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8">
    <xf numFmtId="0" fontId="0" fillId="0" borderId="0" xfId="0"/>
    <xf numFmtId="0" fontId="0" fillId="0" borderId="0" xfId="0" applyAlignment="1">
      <alignment horizontal="left"/>
    </xf>
    <xf numFmtId="0" fontId="4" fillId="0" borderId="0" xfId="0" applyFont="1"/>
    <xf numFmtId="0" fontId="6" fillId="0" borderId="0" xfId="0" applyFont="1" applyAlignment="1">
      <alignment horizontal="left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14" fontId="0" fillId="0" borderId="0" xfId="0" applyNumberFormat="1"/>
    <xf numFmtId="0" fontId="10" fillId="0" borderId="1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1" fillId="0" borderId="4" xfId="0" applyFont="1" applyBorder="1" applyAlignment="1">
      <alignment vertical="center"/>
    </xf>
    <xf numFmtId="0" fontId="11" fillId="0" borderId="5" xfId="0" applyFont="1" applyBorder="1" applyAlignment="1">
      <alignment horizontal="center" vertical="center"/>
    </xf>
    <xf numFmtId="0" fontId="11" fillId="0" borderId="6" xfId="0" applyFont="1" applyBorder="1" applyAlignment="1">
      <alignment horizontal="right" vertical="center"/>
    </xf>
    <xf numFmtId="0" fontId="11" fillId="0" borderId="7" xfId="0" applyFont="1" applyBorder="1" applyAlignment="1">
      <alignment horizontal="right" vertical="center"/>
    </xf>
    <xf numFmtId="0" fontId="8" fillId="0" borderId="0" xfId="0" applyFont="1"/>
    <xf numFmtId="2" fontId="11" fillId="2" borderId="4" xfId="0" applyNumberFormat="1" applyFont="1" applyFill="1" applyBorder="1" applyAlignment="1">
      <alignment horizontal="right" vertical="center"/>
    </xf>
    <xf numFmtId="2" fontId="11" fillId="2" borderId="5" xfId="0" applyNumberFormat="1" applyFont="1" applyFill="1" applyBorder="1" applyAlignment="1">
      <alignment horizontal="right" vertical="center"/>
    </xf>
    <xf numFmtId="164" fontId="11" fillId="2" borderId="5" xfId="0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center" vertical="center"/>
    </xf>
    <xf numFmtId="0" fontId="15" fillId="0" borderId="0" xfId="0" applyFont="1"/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/>
    <xf numFmtId="165" fontId="0" fillId="0" borderId="10" xfId="0" applyNumberFormat="1" applyBorder="1"/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4" borderId="0" xfId="0" applyFill="1" applyAlignment="1">
      <alignment horizontal="center" vertical="center"/>
    </xf>
    <xf numFmtId="0" fontId="0" fillId="4" borderId="0" xfId="0" applyFill="1"/>
    <xf numFmtId="0" fontId="3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10" fillId="0" borderId="3" xfId="0" applyFont="1" applyBorder="1" applyAlignment="1">
      <alignment vertical="center"/>
    </xf>
    <xf numFmtId="0" fontId="10" fillId="0" borderId="9" xfId="0" applyFont="1" applyBorder="1" applyAlignment="1">
      <alignment vertical="center"/>
    </xf>
    <xf numFmtId="0" fontId="13" fillId="0" borderId="8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2" fontId="8" fillId="0" borderId="8" xfId="0" applyNumberFormat="1" applyFont="1" applyBorder="1" applyAlignment="1">
      <alignment horizontal="center" vertical="center"/>
    </xf>
    <xf numFmtId="2" fontId="8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5" borderId="0" xfId="0" applyFont="1" applyFill="1" applyAlignment="1">
      <alignment horizontal="center" vertical="center"/>
    </xf>
    <xf numFmtId="0" fontId="18" fillId="5" borderId="0" xfId="0" applyFont="1" applyFill="1"/>
    <xf numFmtId="0" fontId="19" fillId="5" borderId="0" xfId="0" applyFont="1" applyFill="1" applyAlignment="1">
      <alignment horizontal="center" vertical="center"/>
    </xf>
    <xf numFmtId="0" fontId="6" fillId="0" borderId="10" xfId="0" applyFont="1" applyBorder="1" applyAlignment="1">
      <alignment horizontal="right" vertical="center"/>
    </xf>
    <xf numFmtId="0" fontId="20" fillId="0" borderId="10" xfId="0" applyFont="1" applyBorder="1" applyAlignment="1">
      <alignment horizontal="right" vertical="center"/>
    </xf>
    <xf numFmtId="0" fontId="6" fillId="0" borderId="10" xfId="0" applyFont="1" applyBorder="1" applyAlignment="1">
      <alignment horizontal="right"/>
    </xf>
    <xf numFmtId="0" fontId="19" fillId="0" borderId="0" xfId="0" applyFont="1" applyAlignment="1">
      <alignment horizontal="right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colors>
    <mruColors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1</xdr:row>
          <xdr:rowOff>121920</xdr:rowOff>
        </xdr:from>
        <xdr:to>
          <xdr:col>2</xdr:col>
          <xdr:colOff>762000</xdr:colOff>
          <xdr:row>3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 листы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121920</xdr:rowOff>
        </xdr:from>
        <xdr:to>
          <xdr:col>4</xdr:col>
          <xdr:colOff>457200</xdr:colOff>
          <xdr:row>3</xdr:row>
          <xdr:rowOff>106680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новый лист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121920</xdr:rowOff>
        </xdr:from>
        <xdr:to>
          <xdr:col>1</xdr:col>
          <xdr:colOff>381000</xdr:colOff>
          <xdr:row>3</xdr:row>
          <xdr:rowOff>106680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Регистрация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0</xdr:rowOff>
    </xdr:from>
    <xdr:to>
      <xdr:col>11</xdr:col>
      <xdr:colOff>15240</xdr:colOff>
      <xdr:row>28</xdr:row>
      <xdr:rowOff>175260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42360"/>
          <a:ext cx="7437120" cy="255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ervice"/>
  <dimension ref="A1:DA10000"/>
  <sheetViews>
    <sheetView tabSelected="1" zoomScale="145" zoomScaleNormal="145" workbookViewId="0">
      <selection sqref="A1:E1"/>
    </sheetView>
  </sheetViews>
  <sheetFormatPr defaultRowHeight="14.4" x14ac:dyDescent="0.3"/>
  <cols>
    <col min="1" max="1" width="18.21875" style="1" bestFit="1" customWidth="1"/>
    <col min="2" max="2" width="17" style="1" bestFit="1" customWidth="1"/>
    <col min="3" max="4" width="18.6640625" style="1" bestFit="1" customWidth="1"/>
    <col min="5" max="5" width="11.5546875" style="1" bestFit="1" customWidth="1"/>
    <col min="6" max="13" width="9.109375" style="1" customWidth="1"/>
    <col min="14" max="14" width="8.88671875" style="1"/>
    <col min="19" max="19" width="8.109375" bestFit="1" customWidth="1"/>
    <col min="20" max="20" width="2" bestFit="1" customWidth="1"/>
    <col min="21" max="22" width="3.6640625" bestFit="1" customWidth="1"/>
  </cols>
  <sheetData>
    <row r="1" spans="1:26" x14ac:dyDescent="0.3">
      <c r="A1" s="30" t="s">
        <v>0</v>
      </c>
      <c r="B1" s="30"/>
      <c r="C1" s="30"/>
      <c r="D1" s="30"/>
      <c r="E1" s="30"/>
      <c r="S1" t="s">
        <v>15</v>
      </c>
      <c r="T1">
        <v>9</v>
      </c>
    </row>
    <row r="3" spans="1:26" x14ac:dyDescent="0.3">
      <c r="Z3">
        <v>174042</v>
      </c>
    </row>
    <row r="5" spans="1:26" x14ac:dyDescent="0.3">
      <c r="A5" s="3" t="s">
        <v>3</v>
      </c>
      <c r="B5" s="7" t="s">
        <v>15</v>
      </c>
      <c r="C5" s="6" t="s">
        <v>23</v>
      </c>
    </row>
    <row r="6" spans="1:26" x14ac:dyDescent="0.3">
      <c r="A6" s="3" t="s">
        <v>4</v>
      </c>
      <c r="B6" s="1" t="s">
        <v>16</v>
      </c>
      <c r="Z6">
        <v>221063.14285714284</v>
      </c>
    </row>
    <row r="7" spans="1:26" x14ac:dyDescent="0.3">
      <c r="A7" s="3" t="s">
        <v>5</v>
      </c>
      <c r="B7" s="1" t="s">
        <v>17</v>
      </c>
    </row>
    <row r="8" spans="1:26" x14ac:dyDescent="0.3">
      <c r="A8" s="3" t="s">
        <v>6</v>
      </c>
      <c r="B8" s="1" t="s">
        <v>18</v>
      </c>
    </row>
    <row r="9" spans="1:26" x14ac:dyDescent="0.3">
      <c r="A9" s="3" t="s">
        <v>7</v>
      </c>
      <c r="B9" s="1" t="s">
        <v>19</v>
      </c>
    </row>
    <row r="10" spans="1:26" x14ac:dyDescent="0.3">
      <c r="A10" s="3" t="s">
        <v>8</v>
      </c>
      <c r="B10" s="1">
        <v>9</v>
      </c>
    </row>
    <row r="12" spans="1:26" x14ac:dyDescent="0.3">
      <c r="B12" s="6">
        <v>17</v>
      </c>
    </row>
    <row r="13" spans="1:26" s="4" customFormat="1" x14ac:dyDescent="0.3">
      <c r="A13" s="31" t="s">
        <v>9</v>
      </c>
      <c r="B13" s="31"/>
      <c r="C13" s="31"/>
      <c r="D13" s="31"/>
      <c r="E13" s="5">
        <v>42</v>
      </c>
    </row>
    <row r="14" spans="1:26" s="4" customFormat="1" x14ac:dyDescent="0.3">
      <c r="A14" s="4" t="s">
        <v>10</v>
      </c>
      <c r="B14" s="4" t="s">
        <v>11</v>
      </c>
      <c r="C14" s="4" t="s">
        <v>12</v>
      </c>
      <c r="D14" s="4" t="s">
        <v>13</v>
      </c>
      <c r="E14" s="4" t="s">
        <v>14</v>
      </c>
    </row>
    <row r="15" spans="1:26" s="4" customFormat="1" x14ac:dyDescent="0.3">
      <c r="A15" s="4" t="s">
        <v>22</v>
      </c>
      <c r="B15" s="4" t="s">
        <v>21</v>
      </c>
      <c r="C15" s="4" t="s">
        <v>20</v>
      </c>
      <c r="D15" s="4" t="s">
        <v>29</v>
      </c>
      <c r="E15" s="4">
        <v>8</v>
      </c>
    </row>
    <row r="16" spans="1:26" s="4" customFormat="1" x14ac:dyDescent="0.3">
      <c r="A16" s="4" t="s">
        <v>22</v>
      </c>
      <c r="B16" s="4" t="s">
        <v>21</v>
      </c>
      <c r="C16" s="4" t="s">
        <v>54</v>
      </c>
      <c r="D16" s="4" t="s">
        <v>58</v>
      </c>
      <c r="E16" s="4">
        <v>27</v>
      </c>
    </row>
    <row r="17" spans="1:5" s="4" customFormat="1" x14ac:dyDescent="0.3">
      <c r="A17" s="4" t="s">
        <v>22</v>
      </c>
      <c r="B17" s="4" t="s">
        <v>21</v>
      </c>
      <c r="C17" s="4" t="s">
        <v>59</v>
      </c>
      <c r="D17" s="4" t="s">
        <v>62</v>
      </c>
      <c r="E17" s="4">
        <v>7</v>
      </c>
    </row>
    <row r="18" spans="1:5" s="4" customFormat="1" x14ac:dyDescent="0.3"/>
    <row r="19" spans="1:5" s="4" customFormat="1" x14ac:dyDescent="0.3"/>
    <row r="20" spans="1:5" s="4" customFormat="1" x14ac:dyDescent="0.3"/>
    <row r="21" spans="1:5" s="4" customFormat="1" x14ac:dyDescent="0.3"/>
    <row r="22" spans="1:5" s="4" customFormat="1" x14ac:dyDescent="0.3"/>
    <row r="23" spans="1:5" s="4" customFormat="1" x14ac:dyDescent="0.3"/>
    <row r="24" spans="1:5" s="4" customFormat="1" x14ac:dyDescent="0.3"/>
    <row r="25" spans="1:5" s="4" customFormat="1" x14ac:dyDescent="0.3"/>
    <row r="26" spans="1:5" s="4" customFormat="1" x14ac:dyDescent="0.3"/>
    <row r="27" spans="1:5" s="4" customFormat="1" x14ac:dyDescent="0.3"/>
    <row r="28" spans="1:5" s="4" customFormat="1" x14ac:dyDescent="0.3"/>
    <row r="29" spans="1:5" s="4" customFormat="1" x14ac:dyDescent="0.3"/>
    <row r="30" spans="1:5" s="4" customFormat="1" x14ac:dyDescent="0.3"/>
    <row r="31" spans="1:5" s="4" customFormat="1" x14ac:dyDescent="0.3"/>
    <row r="32" spans="1:5" s="4" customFormat="1" x14ac:dyDescent="0.3"/>
    <row r="33" s="4" customFormat="1" x14ac:dyDescent="0.3"/>
    <row r="34" s="4" customFormat="1" x14ac:dyDescent="0.3"/>
    <row r="35" s="4" customFormat="1" x14ac:dyDescent="0.3"/>
    <row r="36" s="4" customFormat="1" x14ac:dyDescent="0.3"/>
    <row r="37" s="4" customFormat="1" x14ac:dyDescent="0.3"/>
    <row r="38" s="4" customFormat="1" x14ac:dyDescent="0.3"/>
    <row r="39" s="4" customFormat="1" x14ac:dyDescent="0.3"/>
    <row r="40" s="4" customFormat="1" x14ac:dyDescent="0.3"/>
    <row r="41" s="4" customFormat="1" x14ac:dyDescent="0.3"/>
    <row r="42" s="4" customFormat="1" x14ac:dyDescent="0.3"/>
    <row r="43" s="4" customFormat="1" x14ac:dyDescent="0.3"/>
    <row r="44" s="4" customFormat="1" x14ac:dyDescent="0.3"/>
    <row r="45" s="4" customFormat="1" x14ac:dyDescent="0.3"/>
    <row r="46" s="4" customFormat="1" x14ac:dyDescent="0.3"/>
    <row r="47" s="4" customFormat="1" x14ac:dyDescent="0.3"/>
    <row r="48" s="4" customFormat="1" x14ac:dyDescent="0.3"/>
    <row r="49" s="4" customFormat="1" x14ac:dyDescent="0.3"/>
    <row r="50" s="4" customFormat="1" x14ac:dyDescent="0.3"/>
    <row r="405" spans="69:75" x14ac:dyDescent="0.3">
      <c r="BQ405" s="2">
        <v>223</v>
      </c>
    </row>
    <row r="412" spans="69:75" x14ac:dyDescent="0.3">
      <c r="BW412" s="2">
        <v>234</v>
      </c>
    </row>
    <row r="419" spans="81:87" x14ac:dyDescent="0.3">
      <c r="CC419" s="2">
        <v>238</v>
      </c>
    </row>
    <row r="426" spans="81:87" x14ac:dyDescent="0.3">
      <c r="CI426" s="2">
        <v>226</v>
      </c>
    </row>
    <row r="433" spans="93:105" x14ac:dyDescent="0.3">
      <c r="CO433" s="2">
        <v>235</v>
      </c>
    </row>
    <row r="440" spans="93:105" x14ac:dyDescent="0.3">
      <c r="CU440" s="2">
        <v>229</v>
      </c>
    </row>
    <row r="447" spans="93:105" x14ac:dyDescent="0.3">
      <c r="DA447" s="2">
        <v>226</v>
      </c>
    </row>
    <row r="10000" spans="1:1" x14ac:dyDescent="0.3">
      <c r="A10000" s="1" t="s">
        <v>1</v>
      </c>
    </row>
  </sheetData>
  <sheetProtection algorithmName="SHA-512" hashValue="gBWW26MCKrsLxF/wWY7jioC6pUvybNFaYNRMjETN0tJHuo4Hc3yb/u/n+DE30NnXpgjdrLmJjD/COGwjpBq+xQ==" saltValue="MVpaYQroVf7y5mbbxhSFIw==" spinCount="100000" sheet="1" objects="1" scenarios="1" selectLockedCells="1"/>
  <mergeCells count="2">
    <mergeCell ref="A1:E1"/>
    <mergeCell ref="A13:D13"/>
  </mergeCells>
  <pageMargins left="0.7" right="0.7" top="0.75" bottom="0.75" header="0.3" footer="0.3"/>
  <pageSetup paperSize="9" orientation="portrait" r:id="rId1"/>
  <headerFooter>
    <oddFooter>&amp;LКафедра ИПММ (СЕА, ММС) 2017&amp;Ckakasajkasjkasjkasd-12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_Opening">
                <anchor moveWithCells="1" sizeWithCells="1">
                  <from>
                    <xdr:col>1</xdr:col>
                    <xdr:colOff>868680</xdr:colOff>
                    <xdr:row>1</xdr:row>
                    <xdr:rowOff>121920</xdr:rowOff>
                  </from>
                  <to>
                    <xdr:col>2</xdr:col>
                    <xdr:colOff>762000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_New_Sheet">
                <anchor moveWithCells="1" sizeWithCells="1">
                  <from>
                    <xdr:col>3</xdr:col>
                    <xdr:colOff>0</xdr:colOff>
                    <xdr:row>1</xdr:row>
                    <xdr:rowOff>121920</xdr:rowOff>
                  </from>
                  <to>
                    <xdr:col>4</xdr:col>
                    <xdr:colOff>457200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B_reg">
                <anchor moveWithCells="1" sizeWithCells="1">
                  <from>
                    <xdr:col>0</xdr:col>
                    <xdr:colOff>594360</xdr:colOff>
                    <xdr:row>1</xdr:row>
                    <xdr:rowOff>121920</xdr:rowOff>
                  </from>
                  <to>
                    <xdr:col>1</xdr:col>
                    <xdr:colOff>381000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_Serv"/>
  <dimension ref="A1:U1"/>
  <sheetViews>
    <sheetView workbookViewId="0"/>
  </sheetViews>
  <sheetFormatPr defaultRowHeight="14.4" x14ac:dyDescent="0.3"/>
  <cols>
    <col min="19" max="19" width="2.88671875" bestFit="1" customWidth="1"/>
    <col min="20" max="20" width="2" bestFit="1" customWidth="1"/>
    <col min="21" max="21" width="2.88671875" bestFit="1" customWidth="1"/>
  </cols>
  <sheetData>
    <row r="1" spans="1:21" x14ac:dyDescent="0.3">
      <c r="A1" t="s">
        <v>15</v>
      </c>
      <c r="S1" t="s">
        <v>2</v>
      </c>
      <c r="T1">
        <v>1</v>
      </c>
      <c r="U1" s="2" t="s">
        <v>2</v>
      </c>
    </row>
  </sheetData>
  <pageMargins left="0.7" right="0.7" top="0.75" bottom="0.75" header="0.3" footer="0.3"/>
  <pageSetup paperSize="9" orientation="portrait" verticalDpi="0" r:id="rId1"/>
  <headerFooter>
    <oddFooter>&amp;Cdf-1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58D1-82B0-4B39-A44B-3FB109F1E845}">
  <dimension ref="A1:V13"/>
  <sheetViews>
    <sheetView topLeftCell="A6" zoomScaleNormal="100" workbookViewId="0">
      <selection activeCell="F13" sqref="A5:F13"/>
    </sheetView>
  </sheetViews>
  <sheetFormatPr defaultRowHeight="14.4" x14ac:dyDescent="0.3"/>
  <cols>
    <col min="1" max="1" width="15.88671875" bestFit="1" customWidth="1"/>
    <col min="2" max="2" width="10.109375" bestFit="1" customWidth="1"/>
    <col min="4" max="4" width="8.109375" bestFit="1" customWidth="1"/>
    <col min="5" max="5" width="10.21875" bestFit="1" customWidth="1"/>
    <col min="6" max="6" width="10.5546875" bestFit="1" customWidth="1"/>
    <col min="19" max="19" width="8.109375" bestFit="1" customWidth="1"/>
    <col min="20" max="20" width="2" bestFit="1" customWidth="1"/>
    <col min="21" max="22" width="8.109375" bestFit="1" customWidth="1"/>
  </cols>
  <sheetData>
    <row r="1" spans="1:22" x14ac:dyDescent="0.3">
      <c r="A1" t="s">
        <v>24</v>
      </c>
      <c r="B1" s="8">
        <f ca="1">TODAY()</f>
        <v>44879</v>
      </c>
      <c r="S1" t="s">
        <v>15</v>
      </c>
      <c r="T1">
        <v>9</v>
      </c>
      <c r="U1" s="2" t="s">
        <v>15</v>
      </c>
      <c r="V1" s="2" t="s">
        <v>15</v>
      </c>
    </row>
    <row r="2" spans="1:22" x14ac:dyDescent="0.3">
      <c r="A2" t="s">
        <v>25</v>
      </c>
      <c r="B2" s="8">
        <v>38301</v>
      </c>
      <c r="D2" t="s">
        <v>27</v>
      </c>
      <c r="E2">
        <f ca="1">ROUNDUP(B3,-3)</f>
        <v>7000</v>
      </c>
    </row>
    <row r="3" spans="1:22" x14ac:dyDescent="0.3">
      <c r="A3" t="s">
        <v>26</v>
      </c>
      <c r="B3">
        <f ca="1">_xlfn.DAYS(B1,B2)</f>
        <v>6578</v>
      </c>
      <c r="D3" t="s">
        <v>28</v>
      </c>
      <c r="E3" s="8">
        <f ca="1">B1 + (E2-B3)</f>
        <v>45301</v>
      </c>
    </row>
    <row r="5" spans="1:22" ht="15.6" thickBot="1" x14ac:dyDescent="0.35">
      <c r="A5" s="32" t="s">
        <v>30</v>
      </c>
      <c r="B5" s="32"/>
      <c r="C5" s="32"/>
      <c r="D5" s="32"/>
      <c r="E5" s="32"/>
      <c r="F5" s="32"/>
    </row>
    <row r="6" spans="1:22" ht="47.4" thickBot="1" x14ac:dyDescent="0.35">
      <c r="A6" s="9" t="s">
        <v>31</v>
      </c>
      <c r="B6" s="10" t="s">
        <v>32</v>
      </c>
      <c r="C6" s="10" t="s">
        <v>33</v>
      </c>
      <c r="D6" s="11" t="s">
        <v>34</v>
      </c>
      <c r="E6" s="9" t="s">
        <v>35</v>
      </c>
      <c r="F6" s="10" t="s">
        <v>36</v>
      </c>
    </row>
    <row r="7" spans="1:22" ht="19.2" thickBot="1" x14ac:dyDescent="0.35">
      <c r="A7" s="12" t="s">
        <v>37</v>
      </c>
      <c r="B7" s="13" t="s">
        <v>38</v>
      </c>
      <c r="C7" s="14">
        <v>5</v>
      </c>
      <c r="D7" s="15">
        <v>15.29</v>
      </c>
      <c r="E7" s="17">
        <f>C7 * D7</f>
        <v>76.449999999999989</v>
      </c>
      <c r="F7" s="19">
        <f>(E7 / $E$12) * 100</f>
        <v>1.8212337029957326</v>
      </c>
    </row>
    <row r="8" spans="1:22" ht="19.2" thickBot="1" x14ac:dyDescent="0.35">
      <c r="A8" s="12" t="s">
        <v>39</v>
      </c>
      <c r="B8" s="13" t="s">
        <v>38</v>
      </c>
      <c r="C8" s="14">
        <v>7</v>
      </c>
      <c r="D8" s="15">
        <v>93.4</v>
      </c>
      <c r="E8" s="17">
        <f t="shared" ref="E8:E11" si="0">C8 * D8</f>
        <v>653.80000000000007</v>
      </c>
      <c r="F8" s="19">
        <f t="shared" ref="F8:F12" si="1">(E8 / $E$12) * 100</f>
        <v>15.57518109900079</v>
      </c>
    </row>
    <row r="9" spans="1:22" ht="16.2" thickBot="1" x14ac:dyDescent="0.35">
      <c r="A9" s="12" t="s">
        <v>40</v>
      </c>
      <c r="B9" s="13" t="s">
        <v>41</v>
      </c>
      <c r="C9" s="14">
        <v>1.4</v>
      </c>
      <c r="D9" s="15">
        <v>1648.16</v>
      </c>
      <c r="E9" s="17">
        <f t="shared" si="0"/>
        <v>2307.424</v>
      </c>
      <c r="F9" s="19">
        <f t="shared" si="1"/>
        <v>54.968716231539915</v>
      </c>
    </row>
    <row r="10" spans="1:22" ht="19.2" thickBot="1" x14ac:dyDescent="0.35">
      <c r="A10" s="12" t="s">
        <v>42</v>
      </c>
      <c r="B10" s="13" t="s">
        <v>38</v>
      </c>
      <c r="C10" s="14">
        <v>3</v>
      </c>
      <c r="D10" s="15">
        <v>90.01</v>
      </c>
      <c r="E10" s="17">
        <f t="shared" si="0"/>
        <v>270.03000000000003</v>
      </c>
      <c r="F10" s="19">
        <f t="shared" si="1"/>
        <v>6.4328023128834246</v>
      </c>
    </row>
    <row r="11" spans="1:22" ht="16.2" thickBot="1" x14ac:dyDescent="0.35">
      <c r="A11" s="12" t="s">
        <v>43</v>
      </c>
      <c r="B11" s="13" t="s">
        <v>44</v>
      </c>
      <c r="C11" s="14">
        <v>250</v>
      </c>
      <c r="D11" s="15">
        <v>3.56</v>
      </c>
      <c r="E11" s="17">
        <f t="shared" si="0"/>
        <v>890</v>
      </c>
      <c r="F11" s="19">
        <f t="shared" si="1"/>
        <v>21.202066653580147</v>
      </c>
    </row>
    <row r="12" spans="1:22" ht="16.2" thickBot="1" x14ac:dyDescent="0.35">
      <c r="A12" s="33" t="s">
        <v>45</v>
      </c>
      <c r="B12" s="34"/>
      <c r="C12" s="34"/>
      <c r="D12" s="35"/>
      <c r="E12" s="18">
        <f>SUM(E7:E11,)</f>
        <v>4197.7039999999997</v>
      </c>
      <c r="F12" s="19">
        <f t="shared" si="1"/>
        <v>100</v>
      </c>
    </row>
    <row r="13" spans="1:22" ht="31.2" customHeight="1" thickBot="1" x14ac:dyDescent="0.35">
      <c r="A13" s="36" t="s">
        <v>46</v>
      </c>
      <c r="B13" s="37"/>
      <c r="C13" s="38">
        <f>SUMPRODUCT(C7:C11,D7:D11)</f>
        <v>4197.7039999999997</v>
      </c>
      <c r="D13" s="39"/>
      <c r="E13" s="16"/>
      <c r="F13" s="16"/>
    </row>
  </sheetData>
  <mergeCells count="4">
    <mergeCell ref="A5:F5"/>
    <mergeCell ref="A12:D12"/>
    <mergeCell ref="A13:B13"/>
    <mergeCell ref="C13:D13"/>
  </mergeCells>
  <pageMargins left="0.7" right="0.7" top="0.75" bottom="0.75" header="0.3" footer="0.3"/>
  <pageSetup paperSize="9" orientation="portrait" r:id="rId1"/>
  <headerFooter>
    <oddHeader>&amp;R22-2162</oddHeader>
    <oddFooter>&amp;RДавыдов А. И.&amp;CЯковлев-9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BC49-053E-428A-9A98-98ECD9F399CF}">
  <dimension ref="A1:V10"/>
  <sheetViews>
    <sheetView workbookViewId="0">
      <selection activeCell="H6" sqref="H6"/>
    </sheetView>
  </sheetViews>
  <sheetFormatPr defaultRowHeight="14.4" x14ac:dyDescent="0.3"/>
  <cols>
    <col min="1" max="1" width="2" bestFit="1" customWidth="1"/>
    <col min="2" max="9" width="3" bestFit="1" customWidth="1"/>
    <col min="22" max="22" width="8.109375" bestFit="1" customWidth="1"/>
  </cols>
  <sheetData>
    <row r="1" spans="1:22" x14ac:dyDescent="0.3">
      <c r="A1" s="40" t="s">
        <v>47</v>
      </c>
      <c r="B1" s="40"/>
      <c r="C1" s="40"/>
      <c r="D1" s="40"/>
      <c r="E1" s="40"/>
      <c r="F1" s="40"/>
      <c r="G1" s="40"/>
      <c r="H1" s="40"/>
      <c r="I1" s="40"/>
      <c r="V1" s="2" t="s">
        <v>15</v>
      </c>
    </row>
    <row r="2" spans="1:22" x14ac:dyDescent="0.3">
      <c r="A2" s="20">
        <v>1</v>
      </c>
      <c r="B2" s="20">
        <v>2</v>
      </c>
      <c r="C2" s="20">
        <v>3</v>
      </c>
      <c r="D2" s="20">
        <v>4</v>
      </c>
      <c r="E2" s="20">
        <v>5</v>
      </c>
      <c r="F2" s="20">
        <v>6</v>
      </c>
      <c r="G2" s="20">
        <v>7</v>
      </c>
      <c r="H2" s="20">
        <v>8</v>
      </c>
      <c r="I2" s="20">
        <v>9</v>
      </c>
    </row>
    <row r="3" spans="1:22" x14ac:dyDescent="0.3">
      <c r="A3" s="20">
        <v>2</v>
      </c>
      <c r="B3">
        <f t="shared" ref="B3:I10" si="0">B$2*$A3</f>
        <v>4</v>
      </c>
      <c r="C3">
        <f t="shared" si="0"/>
        <v>6</v>
      </c>
      <c r="D3">
        <f t="shared" si="0"/>
        <v>8</v>
      </c>
      <c r="E3">
        <f t="shared" si="0"/>
        <v>10</v>
      </c>
      <c r="F3">
        <f t="shared" si="0"/>
        <v>12</v>
      </c>
      <c r="G3">
        <f t="shared" si="0"/>
        <v>14</v>
      </c>
      <c r="H3">
        <f t="shared" si="0"/>
        <v>16</v>
      </c>
      <c r="I3">
        <f t="shared" si="0"/>
        <v>18</v>
      </c>
    </row>
    <row r="4" spans="1:22" x14ac:dyDescent="0.3">
      <c r="A4" s="20">
        <v>3</v>
      </c>
      <c r="B4">
        <f t="shared" si="0"/>
        <v>6</v>
      </c>
      <c r="C4">
        <f t="shared" si="0"/>
        <v>9</v>
      </c>
      <c r="D4">
        <f t="shared" si="0"/>
        <v>12</v>
      </c>
      <c r="E4">
        <f t="shared" si="0"/>
        <v>15</v>
      </c>
      <c r="F4">
        <f t="shared" si="0"/>
        <v>18</v>
      </c>
      <c r="G4">
        <f t="shared" si="0"/>
        <v>21</v>
      </c>
      <c r="H4">
        <f t="shared" si="0"/>
        <v>24</v>
      </c>
      <c r="I4">
        <f t="shared" si="0"/>
        <v>27</v>
      </c>
    </row>
    <row r="5" spans="1:22" x14ac:dyDescent="0.3">
      <c r="A5" s="20">
        <v>4</v>
      </c>
      <c r="B5">
        <f t="shared" si="0"/>
        <v>8</v>
      </c>
      <c r="C5">
        <f t="shared" si="0"/>
        <v>12</v>
      </c>
      <c r="D5">
        <f t="shared" si="0"/>
        <v>16</v>
      </c>
      <c r="E5">
        <f t="shared" si="0"/>
        <v>20</v>
      </c>
      <c r="F5">
        <f t="shared" si="0"/>
        <v>24</v>
      </c>
      <c r="G5">
        <f t="shared" si="0"/>
        <v>28</v>
      </c>
      <c r="H5">
        <f t="shared" si="0"/>
        <v>32</v>
      </c>
      <c r="I5">
        <f t="shared" si="0"/>
        <v>36</v>
      </c>
    </row>
    <row r="6" spans="1:22" x14ac:dyDescent="0.3">
      <c r="A6" s="20">
        <v>5</v>
      </c>
      <c r="B6">
        <f t="shared" si="0"/>
        <v>10</v>
      </c>
      <c r="C6">
        <f t="shared" si="0"/>
        <v>15</v>
      </c>
      <c r="D6">
        <f t="shared" si="0"/>
        <v>20</v>
      </c>
      <c r="E6">
        <f t="shared" si="0"/>
        <v>25</v>
      </c>
      <c r="F6">
        <f t="shared" si="0"/>
        <v>30</v>
      </c>
      <c r="G6">
        <f t="shared" si="0"/>
        <v>35</v>
      </c>
      <c r="H6">
        <f t="shared" si="0"/>
        <v>40</v>
      </c>
      <c r="I6">
        <f t="shared" si="0"/>
        <v>45</v>
      </c>
    </row>
    <row r="7" spans="1:22" x14ac:dyDescent="0.3">
      <c r="A7" s="20">
        <v>6</v>
      </c>
      <c r="B7">
        <f t="shared" si="0"/>
        <v>12</v>
      </c>
      <c r="C7">
        <f t="shared" si="0"/>
        <v>18</v>
      </c>
      <c r="D7">
        <f t="shared" si="0"/>
        <v>24</v>
      </c>
      <c r="E7">
        <f t="shared" si="0"/>
        <v>30</v>
      </c>
      <c r="F7">
        <f t="shared" si="0"/>
        <v>36</v>
      </c>
      <c r="G7">
        <f t="shared" si="0"/>
        <v>42</v>
      </c>
      <c r="H7">
        <f t="shared" si="0"/>
        <v>48</v>
      </c>
      <c r="I7">
        <f t="shared" si="0"/>
        <v>54</v>
      </c>
    </row>
    <row r="8" spans="1:22" x14ac:dyDescent="0.3">
      <c r="A8" s="20">
        <v>7</v>
      </c>
      <c r="B8">
        <f t="shared" si="0"/>
        <v>14</v>
      </c>
      <c r="C8">
        <f t="shared" si="0"/>
        <v>21</v>
      </c>
      <c r="D8">
        <f t="shared" si="0"/>
        <v>28</v>
      </c>
      <c r="E8">
        <f t="shared" si="0"/>
        <v>35</v>
      </c>
      <c r="F8">
        <f t="shared" si="0"/>
        <v>42</v>
      </c>
      <c r="G8">
        <f t="shared" si="0"/>
        <v>49</v>
      </c>
      <c r="H8">
        <f t="shared" si="0"/>
        <v>56</v>
      </c>
      <c r="I8">
        <f t="shared" si="0"/>
        <v>63</v>
      </c>
    </row>
    <row r="9" spans="1:22" x14ac:dyDescent="0.3">
      <c r="A9" s="20">
        <v>8</v>
      </c>
      <c r="B9">
        <f t="shared" si="0"/>
        <v>16</v>
      </c>
      <c r="C9">
        <f t="shared" si="0"/>
        <v>24</v>
      </c>
      <c r="D9">
        <f t="shared" si="0"/>
        <v>32</v>
      </c>
      <c r="E9">
        <f t="shared" si="0"/>
        <v>40</v>
      </c>
      <c r="F9">
        <f t="shared" si="0"/>
        <v>48</v>
      </c>
      <c r="G9">
        <f t="shared" si="0"/>
        <v>56</v>
      </c>
      <c r="H9">
        <f t="shared" si="0"/>
        <v>64</v>
      </c>
      <c r="I9">
        <f t="shared" si="0"/>
        <v>72</v>
      </c>
    </row>
    <row r="10" spans="1:22" x14ac:dyDescent="0.3">
      <c r="A10" s="20">
        <v>9</v>
      </c>
      <c r="B10">
        <f t="shared" si="0"/>
        <v>18</v>
      </c>
      <c r="C10">
        <f t="shared" si="0"/>
        <v>27</v>
      </c>
      <c r="D10">
        <f t="shared" si="0"/>
        <v>36</v>
      </c>
      <c r="E10">
        <f t="shared" si="0"/>
        <v>45</v>
      </c>
      <c r="F10">
        <f t="shared" si="0"/>
        <v>54</v>
      </c>
      <c r="G10">
        <f t="shared" si="0"/>
        <v>63</v>
      </c>
      <c r="H10">
        <f t="shared" si="0"/>
        <v>72</v>
      </c>
      <c r="I10">
        <f t="shared" si="0"/>
        <v>81</v>
      </c>
    </row>
  </sheetData>
  <mergeCells count="1">
    <mergeCell ref="A1:I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F38BB-3972-463C-8C99-90EC761FEAB8}">
  <dimension ref="A1:V20"/>
  <sheetViews>
    <sheetView workbookViewId="0">
      <selection activeCell="F9" sqref="F9"/>
    </sheetView>
  </sheetViews>
  <sheetFormatPr defaultRowHeight="14.4" x14ac:dyDescent="0.3"/>
  <cols>
    <col min="4" max="4" width="5.44140625" bestFit="1" customWidth="1"/>
    <col min="19" max="19" width="8.109375" bestFit="1" customWidth="1"/>
    <col min="20" max="20" width="2" bestFit="1" customWidth="1"/>
    <col min="21" max="22" width="8.109375" bestFit="1" customWidth="1"/>
  </cols>
  <sheetData>
    <row r="1" spans="1:22" x14ac:dyDescent="0.3">
      <c r="S1" t="s">
        <v>15</v>
      </c>
      <c r="T1">
        <v>9</v>
      </c>
      <c r="U1" s="2" t="s">
        <v>15</v>
      </c>
      <c r="V1" s="2" t="s">
        <v>15</v>
      </c>
    </row>
    <row r="5" spans="1:22" x14ac:dyDescent="0.3">
      <c r="A5" s="21" t="s">
        <v>48</v>
      </c>
      <c r="B5" s="21">
        <v>9</v>
      </c>
    </row>
    <row r="6" spans="1:22" x14ac:dyDescent="0.3">
      <c r="A6" s="21" t="s">
        <v>49</v>
      </c>
      <c r="B6" s="21">
        <v>9</v>
      </c>
    </row>
    <row r="7" spans="1:22" x14ac:dyDescent="0.3">
      <c r="C7" s="23" t="s">
        <v>50</v>
      </c>
      <c r="D7" s="23" t="s">
        <v>51</v>
      </c>
    </row>
    <row r="8" spans="1:22" x14ac:dyDescent="0.3">
      <c r="C8" s="24">
        <f>$B$5</f>
        <v>9</v>
      </c>
      <c r="D8" s="25">
        <f>((2 * SQRT(C8)+$C$18) / ($C$20*$C$20)) * LOG(C8,$C$18)</f>
        <v>7.2408732308821222E-2</v>
      </c>
    </row>
    <row r="9" spans="1:22" x14ac:dyDescent="0.3">
      <c r="C9" s="24">
        <f>$C8+$B$6</f>
        <v>18</v>
      </c>
      <c r="D9" s="25">
        <f t="shared" ref="D9:D17" si="0">((2 * SQRT(C9)+$C$18) / ($C$20*$C$20)) * LOG(C9,$C$18)</f>
        <v>9.5723650900020663E-2</v>
      </c>
    </row>
    <row r="10" spans="1:22" x14ac:dyDescent="0.3">
      <c r="C10" s="24">
        <f t="shared" ref="C10:C17" si="1">$C9+$B$6</f>
        <v>27</v>
      </c>
      <c r="D10" s="25">
        <f t="shared" si="0"/>
        <v>0.10956531770206498</v>
      </c>
    </row>
    <row r="11" spans="1:22" x14ac:dyDescent="0.3">
      <c r="C11" s="24">
        <f t="shared" si="1"/>
        <v>36</v>
      </c>
      <c r="D11" s="25">
        <f t="shared" si="0"/>
        <v>0.11950785002397135</v>
      </c>
    </row>
    <row r="12" spans="1:22" x14ac:dyDescent="0.3">
      <c r="C12" s="24">
        <f t="shared" si="1"/>
        <v>45</v>
      </c>
      <c r="D12" s="25">
        <f t="shared" si="0"/>
        <v>0.12730419077531815</v>
      </c>
    </row>
    <row r="13" spans="1:22" x14ac:dyDescent="0.3">
      <c r="C13" s="24">
        <f t="shared" si="1"/>
        <v>54</v>
      </c>
      <c r="D13" s="25">
        <f t="shared" si="0"/>
        <v>0.13373746733052749</v>
      </c>
    </row>
    <row r="14" spans="1:22" x14ac:dyDescent="0.3">
      <c r="C14" s="24">
        <f t="shared" si="1"/>
        <v>63</v>
      </c>
      <c r="D14" s="25">
        <f t="shared" si="0"/>
        <v>0.13922654896459555</v>
      </c>
    </row>
    <row r="15" spans="1:22" x14ac:dyDescent="0.3">
      <c r="C15" s="24">
        <f t="shared" si="1"/>
        <v>72</v>
      </c>
      <c r="D15" s="25">
        <f t="shared" si="0"/>
        <v>0.14402208926942336</v>
      </c>
    </row>
    <row r="16" spans="1:22" x14ac:dyDescent="0.3">
      <c r="C16" s="24">
        <f t="shared" si="1"/>
        <v>81</v>
      </c>
      <c r="D16" s="25">
        <f t="shared" si="0"/>
        <v>0.14828614640489138</v>
      </c>
    </row>
    <row r="17" spans="2:4" x14ac:dyDescent="0.3">
      <c r="C17" s="24">
        <f t="shared" si="1"/>
        <v>90</v>
      </c>
      <c r="D17" s="25">
        <f t="shared" si="0"/>
        <v>0.15212962079907411</v>
      </c>
    </row>
    <row r="18" spans="2:4" x14ac:dyDescent="0.3">
      <c r="B18" s="26" t="s">
        <v>52</v>
      </c>
      <c r="C18" s="27">
        <f>SUM(C8:C17)</f>
        <v>495</v>
      </c>
    </row>
    <row r="20" spans="2:4" x14ac:dyDescent="0.3">
      <c r="B20" s="28" t="s">
        <v>53</v>
      </c>
      <c r="C20" s="29">
        <f>$C$18/10</f>
        <v>49.5</v>
      </c>
    </row>
  </sheetData>
  <pageMargins left="0.7" right="0.7" top="0.75" bottom="0.75" header="0.3" footer="0.3"/>
  <pageSetup paperSize="9" orientation="portrait" r:id="rId1"/>
  <headerFooter>
    <oddFooter>&amp;CЯковлев-9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29FF0-0608-46B5-9602-704B1AB5BEFE}">
  <dimension ref="A1:V11"/>
  <sheetViews>
    <sheetView workbookViewId="0">
      <selection activeCell="C2" sqref="C2"/>
    </sheetView>
  </sheetViews>
  <sheetFormatPr defaultRowHeight="14.4" x14ac:dyDescent="0.3"/>
  <cols>
    <col min="1" max="1" width="10.21875" bestFit="1" customWidth="1"/>
    <col min="4" max="4" width="12.6640625" bestFit="1" customWidth="1"/>
    <col min="5" max="5" width="6.109375" customWidth="1"/>
    <col min="6" max="9" width="9.21875" customWidth="1"/>
    <col min="16" max="16" width="31.44140625" bestFit="1" customWidth="1"/>
    <col min="17" max="17" width="10.6640625" customWidth="1"/>
    <col min="19" max="19" width="8.109375" bestFit="1" customWidth="1"/>
    <col min="20" max="20" width="2" bestFit="1" customWidth="1"/>
    <col min="21" max="22" width="8.109375" bestFit="1" customWidth="1"/>
  </cols>
  <sheetData>
    <row r="1" spans="1:22" x14ac:dyDescent="0.3">
      <c r="A1" s="43" t="s">
        <v>57</v>
      </c>
      <c r="B1" s="43"/>
      <c r="C1" s="43"/>
      <c r="D1" s="43"/>
      <c r="S1" t="s">
        <v>15</v>
      </c>
      <c r="T1">
        <v>9</v>
      </c>
      <c r="U1" s="2" t="s">
        <v>15</v>
      </c>
      <c r="V1" s="2" t="s">
        <v>15</v>
      </c>
    </row>
    <row r="2" spans="1:22" x14ac:dyDescent="0.3">
      <c r="A2" s="45">
        <v>9</v>
      </c>
      <c r="B2" s="45">
        <v>1</v>
      </c>
      <c r="C2" s="45">
        <v>2</v>
      </c>
      <c r="D2" s="45">
        <v>3</v>
      </c>
      <c r="P2" s="42" t="s">
        <v>61</v>
      </c>
      <c r="Q2" s="44">
        <f>MDETERM(A2:D5)</f>
        <v>35.999999999999972</v>
      </c>
    </row>
    <row r="3" spans="1:22" x14ac:dyDescent="0.3">
      <c r="A3" s="45">
        <v>1</v>
      </c>
      <c r="B3" s="45">
        <v>2</v>
      </c>
      <c r="C3" s="45">
        <v>3</v>
      </c>
      <c r="D3" s="45">
        <v>4</v>
      </c>
      <c r="I3" s="22"/>
      <c r="J3" s="22"/>
      <c r="K3" s="22"/>
    </row>
    <row r="4" spans="1:22" x14ac:dyDescent="0.3">
      <c r="A4" s="45">
        <v>2</v>
      </c>
      <c r="B4" s="45">
        <v>3</v>
      </c>
      <c r="C4" s="45">
        <v>4</v>
      </c>
      <c r="D4" s="45">
        <v>5</v>
      </c>
      <c r="H4" s="22"/>
      <c r="I4" s="22"/>
      <c r="J4" s="22"/>
    </row>
    <row r="5" spans="1:22" x14ac:dyDescent="0.3">
      <c r="A5" s="45">
        <v>3</v>
      </c>
      <c r="B5" s="45">
        <v>4</v>
      </c>
      <c r="C5" s="45">
        <v>5</v>
      </c>
      <c r="D5" s="45">
        <v>2</v>
      </c>
      <c r="H5" s="22"/>
      <c r="I5" s="22"/>
      <c r="J5" s="22"/>
      <c r="K5" s="22"/>
    </row>
    <row r="6" spans="1:22" x14ac:dyDescent="0.3">
      <c r="H6" s="22"/>
      <c r="I6" s="22"/>
      <c r="J6" s="22"/>
      <c r="K6" s="22"/>
    </row>
    <row r="7" spans="1:22" x14ac:dyDescent="0.3">
      <c r="A7" s="41" t="s">
        <v>55</v>
      </c>
      <c r="B7" s="41"/>
      <c r="C7" s="41"/>
      <c r="D7" s="41"/>
      <c r="F7" s="41" t="s">
        <v>56</v>
      </c>
      <c r="G7" s="41"/>
      <c r="H7" s="41"/>
      <c r="I7" s="41"/>
      <c r="J7" s="22"/>
      <c r="K7" s="41" t="s">
        <v>60</v>
      </c>
      <c r="L7" s="41"/>
      <c r="M7" s="41"/>
      <c r="N7" s="41"/>
    </row>
    <row r="8" spans="1:22" x14ac:dyDescent="0.3">
      <c r="A8" s="44" cm="1">
        <f t="array" ref="A8:D11">MINVERSE(A2:D5)</f>
        <v>0.1111111111111111</v>
      </c>
      <c r="B8" s="46">
        <v>-0.22222222222222232</v>
      </c>
      <c r="C8" s="46">
        <v>0.11111111111111122</v>
      </c>
      <c r="D8" s="46">
        <v>-2.4671622769447922E-17</v>
      </c>
      <c r="F8" s="44" cm="1">
        <f t="array" ref="F8:I11">TRANSPOSE(A2:D5)</f>
        <v>9</v>
      </c>
      <c r="G8" s="44">
        <v>1</v>
      </c>
      <c r="H8" s="44">
        <v>2</v>
      </c>
      <c r="I8" s="44">
        <v>3</v>
      </c>
      <c r="J8" s="22"/>
      <c r="K8" s="47">
        <f>A2*A2</f>
        <v>81</v>
      </c>
      <c r="L8" s="47">
        <f>B2*B2</f>
        <v>1</v>
      </c>
      <c r="M8" s="47">
        <f>C2*C2</f>
        <v>4</v>
      </c>
      <c r="N8" s="47">
        <f>D2*D2</f>
        <v>9</v>
      </c>
    </row>
    <row r="9" spans="1:22" x14ac:dyDescent="0.3">
      <c r="A9" s="46">
        <v>-0.22222222222222243</v>
      </c>
      <c r="B9" s="46">
        <v>-3.8055555555555594</v>
      </c>
      <c r="C9" s="46">
        <v>3.2777777777777808</v>
      </c>
      <c r="D9" s="46">
        <v>-0.25000000000000078</v>
      </c>
      <c r="F9" s="44">
        <v>1</v>
      </c>
      <c r="G9" s="44">
        <v>2</v>
      </c>
      <c r="H9" s="44">
        <v>3</v>
      </c>
      <c r="I9" s="44">
        <v>4</v>
      </c>
      <c r="J9" s="22"/>
      <c r="K9" s="47">
        <f>A3*A3</f>
        <v>1</v>
      </c>
      <c r="L9" s="47">
        <f>B3*B3</f>
        <v>4</v>
      </c>
      <c r="M9" s="47">
        <f>C3*C3</f>
        <v>9</v>
      </c>
      <c r="N9" s="47">
        <f>D3*D3</f>
        <v>16</v>
      </c>
    </row>
    <row r="10" spans="1:22" x14ac:dyDescent="0.3">
      <c r="A10" s="46">
        <v>0.11111111111111129</v>
      </c>
      <c r="B10" s="46">
        <v>3.2777777777777808</v>
      </c>
      <c r="C10" s="46">
        <v>-2.8888888888888915</v>
      </c>
      <c r="D10" s="46">
        <v>0.50000000000000067</v>
      </c>
      <c r="F10" s="44">
        <v>2</v>
      </c>
      <c r="G10" s="44">
        <v>3</v>
      </c>
      <c r="H10" s="44">
        <v>4</v>
      </c>
      <c r="I10" s="44">
        <v>5</v>
      </c>
      <c r="J10" s="22"/>
      <c r="K10" s="47">
        <f>A4*A4</f>
        <v>4</v>
      </c>
      <c r="L10" s="47">
        <f>B4*B4</f>
        <v>9</v>
      </c>
      <c r="M10" s="47">
        <f>C4*C4</f>
        <v>16</v>
      </c>
      <c r="N10" s="47">
        <f>D4*D4</f>
        <v>25</v>
      </c>
    </row>
    <row r="11" spans="1:22" x14ac:dyDescent="0.3">
      <c r="A11" s="46">
        <v>-2.7755575615628938E-17</v>
      </c>
      <c r="B11" s="46">
        <v>-0.25000000000000044</v>
      </c>
      <c r="C11" s="46">
        <v>0.50000000000000044</v>
      </c>
      <c r="D11" s="46">
        <v>-0.25000000000000011</v>
      </c>
      <c r="F11" s="44">
        <v>3</v>
      </c>
      <c r="G11" s="44">
        <v>4</v>
      </c>
      <c r="H11" s="44">
        <v>5</v>
      </c>
      <c r="I11" s="44">
        <v>2</v>
      </c>
      <c r="K11" s="47">
        <f>A5*A5</f>
        <v>9</v>
      </c>
      <c r="L11" s="47">
        <f>B5*B5</f>
        <v>16</v>
      </c>
      <c r="M11" s="47">
        <f>C5*C5</f>
        <v>25</v>
      </c>
      <c r="N11" s="47">
        <f>D5*D5</f>
        <v>4</v>
      </c>
    </row>
  </sheetData>
  <mergeCells count="4">
    <mergeCell ref="A1:D1"/>
    <mergeCell ref="A7:D7"/>
    <mergeCell ref="F7:I7"/>
    <mergeCell ref="K7:N7"/>
  </mergeCells>
  <pageMargins left="0.7" right="0.7" top="0.75" bottom="0.75" header="0.3" footer="0.3"/>
  <pageSetup paperSize="9" orientation="portrait" r:id="rId1"/>
  <headerFooter>
    <oddFooter>&amp;CЯковлев-9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СлужЛист</vt:lpstr>
      <vt:lpstr>СлужЛист!Область_печати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Excel-Шаблон 2020</cp:keywords>
  <dc:description>Яковлев 22м</dc:description>
  <cp:lastModifiedBy/>
  <dcterms:created xsi:type="dcterms:W3CDTF">2015-06-05T18:19:34Z</dcterms:created>
  <dcterms:modified xsi:type="dcterms:W3CDTF">2022-11-14T13:37:34Z</dcterms:modified>
</cp:coreProperties>
</file>