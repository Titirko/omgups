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showInkAnnotation="0" codeName="ЭтаКнига"/>
  <xr:revisionPtr revIDLastSave="0" documentId="13_ncr:1_{7963548B-E49A-4356-B1D7-13D70BD9E05B}" xr6:coauthVersionLast="47" xr6:coauthVersionMax="47" xr10:uidLastSave="{00000000-0000-0000-0000-000000000000}"/>
  <workbookProtection workbookAlgorithmName="SHA-512" workbookHashValue="5HRa4Z7IIWedkHB0PtK/4abl56FmmusmPXX0WiJ3jlSdGM7vfVHAXj26SFw0f7G/UpUuFkUS5ks1NaFDeDA/Lw==" workbookSaltValue="f4Hni1uBJLlqJ4UaNEym+Q==" workbookSpinCount="100000" lockStructure="1"/>
  <bookViews>
    <workbookView xWindow="-108" yWindow="108" windowWidth="23256" windowHeight="12360" xr2:uid="{00000000-000D-0000-FFFF-FFFF00000000}"/>
  </bookViews>
  <sheets>
    <sheet name="СлужЛист" sheetId="6" r:id="rId1"/>
    <sheet name="Лаб3_з1" sheetId="7" state="veryHidden" r:id="rId2"/>
    <sheet name="Лаб3_з2" sheetId="8" state="veryHidden" r:id="rId3"/>
    <sheet name="Лаб3-з3" sheetId="9" state="veryHidden" r:id="rId4"/>
    <sheet name="Лаб3-з4" sheetId="10" state="veryHidden" r:id="rId5"/>
  </sheets>
  <functionGroups builtInGroupCount="19"/>
  <definedNames>
    <definedName name="з">#REF!</definedName>
    <definedName name="_xlnm.Print_Area" localSheetId="0">СлужЛист!$A$1:$E$50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F2" i="10"/>
  <c r="E3" i="10"/>
  <c r="E4" i="10"/>
  <c r="E5" i="10"/>
  <c r="E6" i="10"/>
  <c r="E7" i="10"/>
  <c r="E8" i="10"/>
  <c r="E9" i="10"/>
  <c r="E2" i="10"/>
  <c r="D9" i="10"/>
  <c r="D3" i="10"/>
  <c r="D4" i="10"/>
  <c r="D5" i="10"/>
  <c r="D6" i="10"/>
  <c r="D7" i="10"/>
  <c r="D8" i="10"/>
  <c r="D2" i="10"/>
  <c r="D8" i="9"/>
  <c r="D9" i="9"/>
  <c r="D10" i="9"/>
  <c r="B22" i="8"/>
  <c r="B23" i="8"/>
  <c r="B21" i="8"/>
  <c r="D8" i="8"/>
  <c r="G8" i="8" s="1"/>
  <c r="E8" i="8"/>
  <c r="H8" i="8" s="1"/>
  <c r="D9" i="8"/>
  <c r="G9" i="8" s="1"/>
  <c r="E9" i="8"/>
  <c r="H9" i="8" s="1"/>
  <c r="D10" i="8"/>
  <c r="G10" i="8" s="1"/>
  <c r="E10" i="8"/>
  <c r="H10" i="8" s="1"/>
  <c r="D11" i="8"/>
  <c r="G11" i="8" s="1"/>
  <c r="E11" i="8"/>
  <c r="H11" i="8" s="1"/>
  <c r="D12" i="8"/>
  <c r="G12" i="8" s="1"/>
  <c r="E12" i="8"/>
  <c r="H12" i="8" s="1"/>
  <c r="D13" i="8"/>
  <c r="G13" i="8" s="1"/>
  <c r="E13" i="8"/>
  <c r="H13" i="8" s="1"/>
  <c r="D14" i="8"/>
  <c r="G14" i="8" s="1"/>
  <c r="E14" i="8"/>
  <c r="H14" i="8" s="1"/>
  <c r="D15" i="8"/>
  <c r="G15" i="8" s="1"/>
  <c r="E15" i="8"/>
  <c r="H15" i="8" s="1"/>
  <c r="D16" i="8"/>
  <c r="G16" i="8" s="1"/>
  <c r="E16" i="8"/>
  <c r="H16" i="8" s="1"/>
  <c r="C9" i="8"/>
  <c r="F9" i="8" s="1"/>
  <c r="C10" i="8"/>
  <c r="F10" i="8" s="1"/>
  <c r="C11" i="8"/>
  <c r="F11" i="8" s="1"/>
  <c r="C12" i="8"/>
  <c r="F12" i="8" s="1"/>
  <c r="C13" i="8"/>
  <c r="F13" i="8" s="1"/>
  <c r="C14" i="8"/>
  <c r="F14" i="8" s="1"/>
  <c r="C15" i="8"/>
  <c r="F15" i="8" s="1"/>
  <c r="C16" i="8"/>
  <c r="F16" i="8" s="1"/>
  <c r="C8" i="8"/>
  <c r="F8" i="8" s="1"/>
  <c r="K11" i="7"/>
  <c r="K12" i="7"/>
  <c r="J11" i="7"/>
  <c r="H11" i="7"/>
  <c r="I11" i="7"/>
  <c r="L11" i="7"/>
  <c r="E4" i="7"/>
  <c r="F4" i="7"/>
  <c r="G4" i="7"/>
  <c r="E5" i="7"/>
  <c r="F5" i="7"/>
  <c r="G5" i="7"/>
  <c r="E6" i="7"/>
  <c r="F6" i="7"/>
  <c r="G6" i="7"/>
  <c r="E7" i="7"/>
  <c r="F7" i="7"/>
  <c r="G7" i="7"/>
  <c r="E8" i="7"/>
  <c r="F8" i="7"/>
  <c r="G8" i="7"/>
  <c r="E10" i="7"/>
  <c r="F10" i="7"/>
  <c r="G10" i="7"/>
  <c r="E13" i="7"/>
  <c r="F13" i="7"/>
  <c r="G13" i="7"/>
  <c r="E14" i="7"/>
  <c r="F14" i="7"/>
  <c r="G14" i="7"/>
  <c r="E15" i="7"/>
  <c r="F15" i="7"/>
  <c r="G15" i="7"/>
  <c r="E16" i="7"/>
  <c r="F16" i="7"/>
  <c r="G16" i="7"/>
  <c r="E17" i="7"/>
  <c r="F17" i="7"/>
  <c r="G17" i="7"/>
  <c r="E18" i="7"/>
  <c r="F18" i="7"/>
  <c r="G18" i="7"/>
  <c r="D5" i="7"/>
  <c r="D6" i="7"/>
  <c r="D7" i="7"/>
  <c r="D8" i="7"/>
  <c r="D10" i="7"/>
  <c r="D13" i="7"/>
  <c r="D14" i="7"/>
  <c r="D15" i="7"/>
  <c r="D16" i="7"/>
  <c r="D17" i="7"/>
  <c r="D18" i="7"/>
  <c r="D4" i="7"/>
  <c r="C23" i="8" l="1"/>
  <c r="D22" i="8"/>
  <c r="E21" i="8"/>
  <c r="D23" i="8"/>
  <c r="E23" i="8"/>
  <c r="C22" i="8"/>
  <c r="E22" i="8"/>
  <c r="C21" i="8"/>
  <c r="D21" i="8"/>
  <c r="J16" i="8"/>
  <c r="J14" i="8"/>
  <c r="J12" i="8"/>
  <c r="J11" i="8"/>
  <c r="J15" i="8"/>
  <c r="J13" i="8"/>
  <c r="J10" i="8"/>
  <c r="J9" i="8"/>
  <c r="J8" i="8"/>
  <c r="I16" i="8"/>
  <c r="I13" i="8"/>
  <c r="I8" i="8"/>
  <c r="I15" i="8"/>
  <c r="I12" i="8"/>
  <c r="I11" i="8"/>
  <c r="I9" i="8"/>
  <c r="I10" i="8"/>
  <c r="I14" i="8"/>
  <c r="C24" i="7"/>
  <c r="C22" i="7"/>
  <c r="E19" i="7"/>
  <c r="G19" i="7"/>
  <c r="F19" i="7"/>
  <c r="D19" i="7"/>
  <c r="L4" i="7"/>
  <c r="I13" i="7"/>
  <c r="H12" i="7"/>
  <c r="J12" i="7" s="1"/>
  <c r="L12" i="7"/>
  <c r="I17" i="7"/>
  <c r="H18" i="7"/>
  <c r="L16" i="7"/>
  <c r="H7" i="7"/>
  <c r="K7" i="7" s="1"/>
  <c r="H15" i="7"/>
  <c r="H6" i="7"/>
  <c r="K6" i="7" s="1"/>
  <c r="H5" i="7"/>
  <c r="H10" i="7"/>
  <c r="I5" i="7"/>
  <c r="I16" i="7"/>
  <c r="L7" i="7"/>
  <c r="I10" i="7"/>
  <c r="L18" i="7"/>
  <c r="I9" i="7"/>
  <c r="L14" i="7"/>
  <c r="H14" i="7"/>
  <c r="K14" i="7" s="1"/>
  <c r="H13" i="7"/>
  <c r="L9" i="7"/>
  <c r="H17" i="7"/>
  <c r="I8" i="7"/>
  <c r="L17" i="7"/>
  <c r="I18" i="7"/>
  <c r="L8" i="7"/>
  <c r="H8" i="7"/>
  <c r="L6" i="7"/>
  <c r="I6" i="7"/>
  <c r="L10" i="7"/>
  <c r="L13" i="7"/>
  <c r="I12" i="7"/>
  <c r="H9" i="7"/>
  <c r="L5" i="7"/>
  <c r="I15" i="7"/>
  <c r="I7" i="7"/>
  <c r="H16" i="7"/>
  <c r="L15" i="7"/>
  <c r="I14" i="7"/>
  <c r="I4" i="7"/>
  <c r="H4" i="7"/>
  <c r="K4" i="7" s="1"/>
  <c r="F22" i="8" l="1"/>
  <c r="F23" i="8"/>
  <c r="F21" i="8"/>
  <c r="C25" i="7"/>
  <c r="C27" i="7"/>
  <c r="C26" i="7"/>
  <c r="L19" i="7"/>
  <c r="J10" i="7"/>
  <c r="K10" i="7"/>
  <c r="J9" i="7"/>
  <c r="K9" i="7"/>
  <c r="J17" i="7"/>
  <c r="K17" i="7"/>
  <c r="J18" i="7"/>
  <c r="K18" i="7"/>
  <c r="J8" i="7"/>
  <c r="K8" i="7"/>
  <c r="J5" i="7"/>
  <c r="K5" i="7"/>
  <c r="J15" i="7"/>
  <c r="K15" i="7"/>
  <c r="J16" i="7"/>
  <c r="K16" i="7"/>
  <c r="J13" i="7"/>
  <c r="K13" i="7"/>
  <c r="J7" i="7"/>
  <c r="J6" i="7"/>
  <c r="J14" i="7"/>
  <c r="J4" i="7"/>
  <c r="K19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2" authorId="0" shapeId="0" xr:uid="{AA67A4D9-2BFE-44D1-8869-0C192E1C0755}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24.11.2022 10:16</t>
        </r>
      </text>
    </comment>
  </commentList>
</comments>
</file>

<file path=xl/sharedStrings.xml><?xml version="1.0" encoding="utf-8"?>
<sst xmlns="http://schemas.openxmlformats.org/spreadsheetml/2006/main" count="139" uniqueCount="83">
  <si>
    <t>Внимание! Для работы программы должны быть включены макросы и пройдена регистрация!</t>
  </si>
  <si>
    <t>Фамилия</t>
  </si>
  <si>
    <t>Имя</t>
  </si>
  <si>
    <t>Отчество</t>
  </si>
  <si>
    <t>Группа</t>
  </si>
  <si>
    <t>Шифр</t>
  </si>
  <si>
    <t>Вариант</t>
  </si>
  <si>
    <t>Хронология работы</t>
  </si>
  <si>
    <t>Имя компьютера</t>
  </si>
  <si>
    <t>Имя пользователя</t>
  </si>
  <si>
    <t>Начало работы</t>
  </si>
  <si>
    <t>Конец работы</t>
  </si>
  <si>
    <t>Время, мин.</t>
  </si>
  <si>
    <t>Яковлев</t>
  </si>
  <si>
    <t>Николай</t>
  </si>
  <si>
    <t>Игоревич</t>
  </si>
  <si>
    <t>22м</t>
  </si>
  <si>
    <t>22-2162</t>
  </si>
  <si>
    <t>24.11.2022 10:11:34</t>
  </si>
  <si>
    <t>Niky</t>
  </si>
  <si>
    <t>DESKTOP-3UMSO1N</t>
  </si>
  <si>
    <t>Я0748964</t>
  </si>
  <si>
    <t>Результаты сессии</t>
  </si>
  <si>
    <t>№п/п</t>
  </si>
  <si>
    <t>ФамилияИ.О.</t>
  </si>
  <si>
    <t>Груп-па</t>
  </si>
  <si>
    <t>Оценки</t>
  </si>
  <si>
    <t>Средний балл (СрБ)</t>
  </si>
  <si>
    <t>Всего баллов</t>
  </si>
  <si>
    <t>Фамилия И.О. (СрБ ≥ 3)</t>
  </si>
  <si>
    <t>Отличники (+)</t>
  </si>
  <si>
    <t>Перевод на след. курс (да/нет)</t>
  </si>
  <si>
    <t>Математика</t>
  </si>
  <si>
    <t>Физика</t>
  </si>
  <si>
    <t>Информатика</t>
  </si>
  <si>
    <t>Химия</t>
  </si>
  <si>
    <t>Средний балл по дисциплинам</t>
  </si>
  <si>
    <t>Всего</t>
  </si>
  <si>
    <t>ИТОГИ</t>
  </si>
  <si>
    <t>Всего оценок</t>
  </si>
  <si>
    <t>в том числе:</t>
  </si>
  <si>
    <t>Яковлев Н. И.</t>
  </si>
  <si>
    <t>Зиферман В.</t>
  </si>
  <si>
    <t>Знаенок А.</t>
  </si>
  <si>
    <t>Ситдыков И.</t>
  </si>
  <si>
    <t>Сайбитинов Д.</t>
  </si>
  <si>
    <t>Канев Ф.</t>
  </si>
  <si>
    <t>Костюк Н.</t>
  </si>
  <si>
    <t>Сироткин Д.</t>
  </si>
  <si>
    <t>Савельева Т.</t>
  </si>
  <si>
    <t xml:space="preserve">Крашенинникова А. </t>
  </si>
  <si>
    <t>Кучеренко Е.</t>
  </si>
  <si>
    <t>Шевченко Г.</t>
  </si>
  <si>
    <t>Шапран Д.</t>
  </si>
  <si>
    <t>Доктер А.</t>
  </si>
  <si>
    <t>Васильев Г.</t>
  </si>
  <si>
    <t>Критерии оценивания</t>
  </si>
  <si>
    <t>Наименование теста</t>
  </si>
  <si>
    <t>Тест1</t>
  </si>
  <si>
    <t>Тест2</t>
  </si>
  <si>
    <t>Тест3</t>
  </si>
  <si>
    <t>Максимальное количество баллов</t>
  </si>
  <si>
    <t>Результаты тестирования</t>
  </si>
  <si>
    <t>Коэффициент выполнения теста</t>
  </si>
  <si>
    <t>Количество баллов</t>
  </si>
  <si>
    <t>СУММПРОИЗВ</t>
  </si>
  <si>
    <t>47а</t>
  </si>
  <si>
    <t>47б</t>
  </si>
  <si>
    <t>47в</t>
  </si>
  <si>
    <t>Итоги по группам</t>
  </si>
  <si>
    <t>Количество студентов</t>
  </si>
  <si>
    <t>Сумма баллов</t>
  </si>
  <si>
    <t>Средний балл на одного студента</t>
  </si>
  <si>
    <t>y</t>
  </si>
  <si>
    <t>x</t>
  </si>
  <si>
    <t>d</t>
  </si>
  <si>
    <t>a</t>
  </si>
  <si>
    <t>b</t>
  </si>
  <si>
    <t>c</t>
  </si>
  <si>
    <t>a^b</t>
  </si>
  <si>
    <t>a^b˅c</t>
  </si>
  <si>
    <t>¬(a^b˅c)</t>
  </si>
  <si>
    <t>25.11.2022 12:31:13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</si>
</sst>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"/>
  </numFmts>
  <fonts count="13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11"/>
      <color rgb="FF000000"/>
      <name val="Calibri"/>
      <family val="2"/>
      <charset val="204"/>
    </font>
    <font>
      <sz val="10"/>
      <color rgb="FFC0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scheme val="minor"/>
    </font>
    <font>
      <sz val="11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4"/>
      <color theme="1"/>
      <name val="Times New Roman"/>
      <family val="1"/>
      <charset val="204"/>
    </font>
    <font>
      <b/>
      <sz val="14"/>
      <color rgb="FF002060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5" tint="0.59999389629810485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rgb="FF000000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rgb="FF000000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rgb="FF000000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rgb="FF000000"/>
      </right>
      <top style="thick">
        <color indexed="64"/>
      </top>
      <bottom style="medium">
        <color indexed="64"/>
      </bottom>
      <diagonal/>
    </border>
    <border>
      <left style="thick">
        <color rgb="FF000000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92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/>
    <xf numFmtId="0" fontId="8" fillId="0" borderId="7" xfId="0" applyFont="1" applyBorder="1" applyAlignment="1">
      <alignment horizontal="center" vertical="center"/>
    </xf>
    <xf numFmtId="0" fontId="8" fillId="0" borderId="9" xfId="0" applyFont="1" applyBorder="1" applyAlignment="1">
      <alignment horizontal="right" vertical="center"/>
    </xf>
    <xf numFmtId="0" fontId="8" fillId="0" borderId="7" xfId="0" applyFont="1" applyBorder="1" applyAlignment="1">
      <alignment vertical="center"/>
    </xf>
    <xf numFmtId="0" fontId="6" fillId="0" borderId="0" xfId="0" applyFont="1"/>
    <xf numFmtId="0" fontId="8" fillId="2" borderId="15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17" xfId="0" applyFont="1" applyBorder="1" applyAlignment="1">
      <alignment vertical="center" wrapText="1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right" vertical="center" indent="2"/>
    </xf>
    <xf numFmtId="0" fontId="8" fillId="0" borderId="22" xfId="0" applyFont="1" applyBorder="1" applyAlignment="1">
      <alignment horizontal="right" vertical="center" indent="2"/>
    </xf>
    <xf numFmtId="0" fontId="8" fillId="0" borderId="23" xfId="0" applyFont="1" applyBorder="1" applyAlignment="1">
      <alignment horizontal="right" vertical="center" indent="2"/>
    </xf>
    <xf numFmtId="0" fontId="8" fillId="0" borderId="24" xfId="0" applyFont="1" applyBorder="1" applyAlignment="1">
      <alignment horizontal="right" vertical="center" indent="2"/>
    </xf>
    <xf numFmtId="0" fontId="8" fillId="0" borderId="10" xfId="0" applyFont="1" applyBorder="1" applyAlignment="1">
      <alignment horizontal="right" vertical="center"/>
    </xf>
    <xf numFmtId="0" fontId="8" fillId="0" borderId="25" xfId="0" applyFont="1" applyBorder="1" applyAlignment="1">
      <alignment horizontal="center" vertical="center"/>
    </xf>
    <xf numFmtId="0" fontId="8" fillId="0" borderId="8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8" fillId="0" borderId="25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right" vertical="center"/>
    </xf>
    <xf numFmtId="0" fontId="8" fillId="0" borderId="5" xfId="0" applyFont="1" applyBorder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26" xfId="0" applyFont="1" applyFill="1" applyBorder="1" applyAlignment="1">
      <alignment vertical="center"/>
    </xf>
    <xf numFmtId="0" fontId="8" fillId="0" borderId="26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1" fillId="0" borderId="26" xfId="0" applyFont="1" applyBorder="1" applyAlignment="1">
      <alignment vertical="center"/>
    </xf>
    <xf numFmtId="0" fontId="0" fillId="0" borderId="26" xfId="0" applyBorder="1"/>
    <xf numFmtId="0" fontId="6" fillId="0" borderId="26" xfId="0" applyFont="1" applyBorder="1"/>
    <xf numFmtId="0" fontId="7" fillId="0" borderId="26" xfId="0" applyFont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right" vertical="center"/>
    </xf>
    <xf numFmtId="0" fontId="8" fillId="3" borderId="7" xfId="0" applyFont="1" applyFill="1" applyBorder="1" applyAlignment="1">
      <alignment horizontal="center" vertical="center"/>
    </xf>
    <xf numFmtId="169" fontId="8" fillId="2" borderId="7" xfId="0" applyNumberFormat="1" applyFont="1" applyFill="1" applyBorder="1" applyAlignment="1">
      <alignment vertical="center"/>
    </xf>
    <xf numFmtId="169" fontId="8" fillId="3" borderId="9" xfId="0" applyNumberFormat="1" applyFont="1" applyFill="1" applyBorder="1" applyAlignment="1">
      <alignment horizontal="right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7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5" xfId="0" applyFont="1" applyBorder="1" applyAlignment="1">
      <alignment vertical="center" wrapText="1"/>
    </xf>
    <xf numFmtId="0" fontId="8" fillId="0" borderId="35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11" fillId="0" borderId="9" xfId="0" applyFont="1" applyBorder="1" applyAlignment="1">
      <alignment vertical="center"/>
    </xf>
    <xf numFmtId="2" fontId="8" fillId="0" borderId="7" xfId="0" applyNumberFormat="1" applyFont="1" applyBorder="1" applyAlignment="1">
      <alignment horizontal="center" vertical="center"/>
    </xf>
    <xf numFmtId="1" fontId="8" fillId="2" borderId="7" xfId="0" applyNumberFormat="1" applyFont="1" applyFill="1" applyBorder="1" applyAlignment="1">
      <alignment horizontal="right" vertical="center"/>
    </xf>
    <xf numFmtId="1" fontId="2" fillId="2" borderId="32" xfId="0" applyNumberFormat="1" applyFont="1" applyFill="1" applyBorder="1" applyAlignment="1">
      <alignment vertical="center"/>
    </xf>
    <xf numFmtId="1" fontId="2" fillId="4" borderId="7" xfId="0" applyNumberFormat="1" applyFont="1" applyFill="1" applyBorder="1" applyAlignment="1">
      <alignment vertical="center"/>
    </xf>
    <xf numFmtId="1" fontId="8" fillId="2" borderId="28" xfId="0" applyNumberFormat="1" applyFont="1" applyFill="1" applyBorder="1" applyAlignment="1">
      <alignment horizontal="center" vertical="center"/>
    </xf>
    <xf numFmtId="1" fontId="8" fillId="2" borderId="16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0" fillId="5" borderId="26" xfId="0" applyNumberFormat="1" applyFill="1" applyBorder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1</xdr:row>
          <xdr:rowOff>121920</xdr:rowOff>
        </xdr:from>
        <xdr:to>
          <xdr:col>2</xdr:col>
          <xdr:colOff>762000</xdr:colOff>
          <xdr:row>3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листы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121920</xdr:rowOff>
        </xdr:from>
        <xdr:to>
          <xdr:col>4</xdr:col>
          <xdr:colOff>457200</xdr:colOff>
          <xdr:row>3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новый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121920</xdr:rowOff>
        </xdr:from>
        <xdr:to>
          <xdr:col>1</xdr:col>
          <xdr:colOff>381000</xdr:colOff>
          <xdr:row>3</xdr:row>
          <xdr:rowOff>106680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Регистрация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579120</xdr:colOff>
      <xdr:row>0</xdr:row>
      <xdr:rowOff>22861</xdr:rowOff>
    </xdr:from>
    <xdr:to>
      <xdr:col>9</xdr:col>
      <xdr:colOff>30480</xdr:colOff>
      <xdr:row>4</xdr:row>
      <xdr:rowOff>155449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9DDDD371-4307-446D-AF10-019CA62A5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120" y="22861"/>
          <a:ext cx="4937760" cy="8641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274321</xdr:colOff>
      <xdr:row>0</xdr:row>
      <xdr:rowOff>175260</xdr:rowOff>
    </xdr:from>
    <xdr:to>
      <xdr:col>8</xdr:col>
      <xdr:colOff>571501</xdr:colOff>
      <xdr:row>2</xdr:row>
      <xdr:rowOff>113088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EE38E00C-DE17-4DF3-8161-FD2C02D10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1921" y="175260"/>
          <a:ext cx="1516380" cy="3188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rvice"/>
  <dimension ref="A1:DB538"/>
  <sheetViews>
    <sheetView tabSelected="1" zoomScale="130" zoomScaleNormal="130" workbookViewId="0">
      <selection sqref="A1:E1"/>
    </sheetView>
  </sheetViews>
  <sheetFormatPr defaultRowHeight="14.4" x14ac:dyDescent="0.3"/>
  <cols>
    <col min="1" max="1" width="18.109375" style="1" bestFit="1" customWidth="1"/>
    <col min="2" max="2" width="17" style="1" bestFit="1" customWidth="1"/>
    <col min="3" max="3" width="17.88671875" style="1" bestFit="1" customWidth="1"/>
    <col min="4" max="4" width="13.33203125" style="1" bestFit="1" customWidth="1"/>
    <col min="5" max="5" width="11.44140625" style="1" bestFit="1" customWidth="1"/>
    <col min="6" max="13" width="9.109375" style="1" customWidth="1"/>
    <col min="14" max="14" width="8.88671875" style="1"/>
    <col min="19" max="19" width="8.109375" bestFit="1" customWidth="1"/>
    <col min="20" max="20" width="2" bestFit="1" customWidth="1"/>
    <col min="21" max="21" width="9.109375" customWidth="1"/>
  </cols>
  <sheetData>
    <row r="1" spans="1:26" x14ac:dyDescent="0.3">
      <c r="A1" s="2" t="s">
        <v>0</v>
      </c>
      <c r="B1" s="2"/>
      <c r="C1" s="2"/>
      <c r="D1" s="2"/>
      <c r="E1" s="2"/>
      <c r="S1" t="s">
        <v>13</v>
      </c>
      <c r="T1">
        <v>9</v>
      </c>
    </row>
    <row r="2" spans="1:26" x14ac:dyDescent="0.3">
      <c r="Z2">
        <v>117954</v>
      </c>
    </row>
    <row r="3" spans="1:26" x14ac:dyDescent="0.3">
      <c r="Z3">
        <v>127567.28571428571</v>
      </c>
    </row>
    <row r="4" spans="1:26" x14ac:dyDescent="0.3">
      <c r="Z4">
        <v>137457</v>
      </c>
    </row>
    <row r="5" spans="1:26" x14ac:dyDescent="0.3">
      <c r="A5" s="3" t="s">
        <v>1</v>
      </c>
      <c r="B5" s="1" t="s">
        <v>13</v>
      </c>
      <c r="C5" s="6" t="s">
        <v>21</v>
      </c>
      <c r="Z5">
        <v>143190</v>
      </c>
    </row>
    <row r="6" spans="1:26" x14ac:dyDescent="0.3">
      <c r="A6" s="3" t="s">
        <v>2</v>
      </c>
      <c r="B6" s="1" t="s">
        <v>14</v>
      </c>
    </row>
    <row r="7" spans="1:26" x14ac:dyDescent="0.3">
      <c r="A7" s="3" t="s">
        <v>3</v>
      </c>
      <c r="B7" s="1" t="s">
        <v>15</v>
      </c>
    </row>
    <row r="8" spans="1:26" x14ac:dyDescent="0.3">
      <c r="A8" s="3" t="s">
        <v>4</v>
      </c>
      <c r="B8" s="1" t="s">
        <v>16</v>
      </c>
    </row>
    <row r="9" spans="1:26" x14ac:dyDescent="0.3">
      <c r="A9" s="3" t="s">
        <v>5</v>
      </c>
      <c r="B9" s="1" t="s">
        <v>17</v>
      </c>
    </row>
    <row r="10" spans="1:26" x14ac:dyDescent="0.3">
      <c r="A10" s="3" t="s">
        <v>6</v>
      </c>
      <c r="B10" s="1">
        <v>9</v>
      </c>
    </row>
    <row r="12" spans="1:26" x14ac:dyDescent="0.3">
      <c r="B12" s="6">
        <v>15</v>
      </c>
    </row>
    <row r="13" spans="1:26" s="4" customFormat="1" x14ac:dyDescent="0.3">
      <c r="A13" s="7" t="s">
        <v>7</v>
      </c>
      <c r="B13" s="7"/>
      <c r="C13" s="7"/>
      <c r="D13" s="7"/>
      <c r="E13" s="5">
        <v>1580</v>
      </c>
    </row>
    <row r="14" spans="1:26" s="4" customFormat="1" x14ac:dyDescent="0.3">
      <c r="A14" s="4" t="s">
        <v>8</v>
      </c>
      <c r="B14" s="4" t="s">
        <v>9</v>
      </c>
      <c r="C14" s="4" t="s">
        <v>10</v>
      </c>
      <c r="D14" s="4" t="s">
        <v>11</v>
      </c>
      <c r="E14" s="4" t="s">
        <v>12</v>
      </c>
    </row>
    <row r="15" spans="1:26" s="4" customFormat="1" x14ac:dyDescent="0.3">
      <c r="A15" s="4" t="s">
        <v>20</v>
      </c>
      <c r="B15" s="4" t="s">
        <v>19</v>
      </c>
      <c r="C15" s="4" t="s">
        <v>18</v>
      </c>
      <c r="D15" s="4" t="s">
        <v>82</v>
      </c>
      <c r="E15" s="4">
        <v>1580</v>
      </c>
    </row>
    <row r="16" spans="1:26" s="4" customFormat="1" x14ac:dyDescent="0.3"/>
    <row r="17" s="4" customFormat="1" x14ac:dyDescent="0.3"/>
    <row r="18" s="4" customFormat="1" x14ac:dyDescent="0.3"/>
    <row r="19" s="4" customFormat="1" x14ac:dyDescent="0.3"/>
    <row r="20" s="4" customFormat="1" x14ac:dyDescent="0.3"/>
    <row r="21" s="4" customFormat="1" x14ac:dyDescent="0.3"/>
    <row r="22" s="4" customFormat="1" x14ac:dyDescent="0.3"/>
    <row r="23" s="4" customFormat="1" x14ac:dyDescent="0.3"/>
    <row r="24" s="4" customFormat="1" x14ac:dyDescent="0.3"/>
    <row r="25" s="4" customFormat="1" x14ac:dyDescent="0.3"/>
    <row r="26" s="4" customFormat="1" x14ac:dyDescent="0.3"/>
    <row r="27" s="4" customFormat="1" x14ac:dyDescent="0.3"/>
    <row r="28" s="4" customFormat="1" x14ac:dyDescent="0.3"/>
    <row r="29" s="4" customFormat="1" x14ac:dyDescent="0.3"/>
    <row r="30" s="4" customFormat="1" x14ac:dyDescent="0.3"/>
    <row r="31" s="4" customFormat="1" x14ac:dyDescent="0.3"/>
    <row r="32" s="4" customFormat="1" x14ac:dyDescent="0.3"/>
    <row r="33" s="4" customFormat="1" x14ac:dyDescent="0.3"/>
    <row r="34" s="4" customFormat="1" x14ac:dyDescent="0.3"/>
    <row r="35" s="4" customFormat="1" x14ac:dyDescent="0.3"/>
    <row r="36" s="4" customFormat="1" x14ac:dyDescent="0.3"/>
    <row r="37" s="4" customFormat="1" x14ac:dyDescent="0.3"/>
    <row r="38" s="4" customFormat="1" x14ac:dyDescent="0.3"/>
    <row r="39" s="4" customFormat="1" x14ac:dyDescent="0.3"/>
    <row r="40" s="4" customFormat="1" x14ac:dyDescent="0.3"/>
    <row r="41" s="4" customFormat="1" x14ac:dyDescent="0.3"/>
    <row r="42" s="4" customFormat="1" x14ac:dyDescent="0.3"/>
    <row r="43" s="4" customFormat="1" x14ac:dyDescent="0.3"/>
    <row r="44" s="4" customFormat="1" x14ac:dyDescent="0.3"/>
    <row r="45" s="4" customFormat="1" x14ac:dyDescent="0.3"/>
    <row r="46" s="4" customFormat="1" x14ac:dyDescent="0.3"/>
    <row r="47" s="4" customFormat="1" x14ac:dyDescent="0.3"/>
    <row r="48" s="4" customFormat="1" x14ac:dyDescent="0.3"/>
    <row r="49" s="4" customFormat="1" x14ac:dyDescent="0.3"/>
    <row r="50" s="4" customFormat="1" x14ac:dyDescent="0.3"/>
    <row r="496" spans="70:70" x14ac:dyDescent="0.3">
      <c r="BR496" s="8">
        <v>223</v>
      </c>
    </row>
    <row r="503" spans="76:82" x14ac:dyDescent="0.3">
      <c r="BX503" s="8">
        <v>234</v>
      </c>
    </row>
    <row r="510" spans="76:82" x14ac:dyDescent="0.3">
      <c r="CD510" s="8">
        <v>238</v>
      </c>
    </row>
    <row r="517" spans="88:94" x14ac:dyDescent="0.3">
      <c r="CJ517" s="8">
        <v>226</v>
      </c>
    </row>
    <row r="524" spans="88:94" x14ac:dyDescent="0.3">
      <c r="CP524" s="8">
        <v>235</v>
      </c>
    </row>
    <row r="531" spans="100:106" x14ac:dyDescent="0.3">
      <c r="CV531" s="8">
        <v>229</v>
      </c>
    </row>
    <row r="538" spans="100:106" x14ac:dyDescent="0.3">
      <c r="DB538" s="8">
        <v>226</v>
      </c>
    </row>
  </sheetData>
  <sheetProtection algorithmName="SHA-512" hashValue="8RsO3GJnRz8x8M4QdhME/VSIgHtkqFpJ/IUO1omZEVLVcskDopEtGSdTKpD7gOz9wMCN2jE3syIcAgIdJHpQUg==" saltValue="0TgX0/UCKB0w1fwquJRoFg==" spinCount="100000" sheet="1" objects="1" scenarios="1" selectLockedCells="1"/>
  <mergeCells count="2">
    <mergeCell ref="A1:E1"/>
    <mergeCell ref="A13:D13"/>
  </mergeCells>
  <pageMargins left="0.7" right="0.7" top="0.75" bottom="0.75" header="0.3" footer="0.3"/>
  <pageSetup paperSize="9" orientation="portrait" r:id="rId1"/>
  <headerFooter>
    <oddFooter>&amp;LКафедра ИПММ (СЕА, ММС) 2017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_Opening">
                <anchor moveWithCells="1" sizeWithCells="1">
                  <from>
                    <xdr:col>1</xdr:col>
                    <xdr:colOff>868680</xdr:colOff>
                    <xdr:row>1</xdr:row>
                    <xdr:rowOff>121920</xdr:rowOff>
                  </from>
                  <to>
                    <xdr:col>2</xdr:col>
                    <xdr:colOff>762000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_New_Sheet">
                <anchor moveWithCells="1" sizeWithCells="1">
                  <from>
                    <xdr:col>3</xdr:col>
                    <xdr:colOff>0</xdr:colOff>
                    <xdr:row>1</xdr:row>
                    <xdr:rowOff>121920</xdr:rowOff>
                  </from>
                  <to>
                    <xdr:col>4</xdr:col>
                    <xdr:colOff>457200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_reg">
                <anchor moveWithCells="1" sizeWithCells="1">
                  <from>
                    <xdr:col>0</xdr:col>
                    <xdr:colOff>594360</xdr:colOff>
                    <xdr:row>1</xdr:row>
                    <xdr:rowOff>121920</xdr:rowOff>
                  </from>
                  <to>
                    <xdr:col>1</xdr:col>
                    <xdr:colOff>381000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CB2FD-EA08-44C0-9164-D951D5D03C56}">
  <dimension ref="A1:U28"/>
  <sheetViews>
    <sheetView topLeftCell="A4" zoomScaleNormal="100" workbookViewId="0">
      <selection activeCell="B18" sqref="B10:B18"/>
    </sheetView>
  </sheetViews>
  <sheetFormatPr defaultRowHeight="14.4" x14ac:dyDescent="0.3"/>
  <cols>
    <col min="1" max="1" width="12.33203125" customWidth="1"/>
    <col min="2" max="2" width="24.77734375" customWidth="1"/>
    <col min="3" max="3" width="8.88671875" customWidth="1"/>
    <col min="4" max="4" width="14.109375" bestFit="1" customWidth="1"/>
    <col min="5" max="5" width="9" bestFit="1" customWidth="1"/>
    <col min="6" max="6" width="16" bestFit="1" customWidth="1"/>
    <col min="7" max="7" width="8.33203125" bestFit="1" customWidth="1"/>
    <col min="8" max="8" width="10.33203125" customWidth="1"/>
    <col min="10" max="10" width="26.5546875" customWidth="1"/>
    <col min="11" max="11" width="13.44140625" customWidth="1"/>
    <col min="12" max="12" width="13.33203125" bestFit="1" customWidth="1"/>
    <col min="19" max="19" width="8.109375" bestFit="1" customWidth="1"/>
    <col min="20" max="20" width="2" bestFit="1" customWidth="1"/>
    <col min="21" max="21" width="8.109375" bestFit="1" customWidth="1"/>
  </cols>
  <sheetData>
    <row r="1" spans="1:21" ht="18" thickBot="1" x14ac:dyDescent="0.35">
      <c r="A1" s="16" t="s">
        <v>22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S1" t="s">
        <v>13</v>
      </c>
      <c r="T1">
        <v>9</v>
      </c>
      <c r="U1" s="8" t="s">
        <v>13</v>
      </c>
    </row>
    <row r="2" spans="1:21" ht="71.400000000000006" customHeight="1" thickBot="1" x14ac:dyDescent="0.35">
      <c r="A2" s="17" t="s">
        <v>23</v>
      </c>
      <c r="B2" s="17" t="s">
        <v>24</v>
      </c>
      <c r="C2" s="17" t="s">
        <v>25</v>
      </c>
      <c r="D2" s="21" t="s">
        <v>26</v>
      </c>
      <c r="E2" s="20"/>
      <c r="F2" s="20"/>
      <c r="G2" s="22"/>
      <c r="H2" s="19" t="s">
        <v>27</v>
      </c>
      <c r="I2" s="17" t="s">
        <v>28</v>
      </c>
      <c r="J2" s="17" t="s">
        <v>29</v>
      </c>
      <c r="K2" s="17" t="s">
        <v>30</v>
      </c>
      <c r="L2" s="17" t="s">
        <v>31</v>
      </c>
    </row>
    <row r="3" spans="1:21" ht="18.600000000000001" thickBot="1" x14ac:dyDescent="0.35">
      <c r="A3" s="42"/>
      <c r="B3" s="42"/>
      <c r="C3" s="42"/>
      <c r="D3" s="37" t="s">
        <v>32</v>
      </c>
      <c r="E3" s="37" t="s">
        <v>33</v>
      </c>
      <c r="F3" s="37" t="s">
        <v>34</v>
      </c>
      <c r="G3" s="41" t="s">
        <v>35</v>
      </c>
      <c r="H3" s="23"/>
      <c r="I3" s="18"/>
      <c r="J3" s="18"/>
      <c r="K3" s="18"/>
      <c r="L3" s="18"/>
    </row>
    <row r="4" spans="1:21" ht="18.600000000000001" thickBot="1" x14ac:dyDescent="0.35">
      <c r="A4" s="43">
        <v>1</v>
      </c>
      <c r="B4" s="44" t="s">
        <v>42</v>
      </c>
      <c r="C4" s="45" t="s">
        <v>16</v>
      </c>
      <c r="D4" s="45">
        <f ca="1">RANDBETWEEN(2,5)</f>
        <v>3</v>
      </c>
      <c r="E4" s="45">
        <f t="shared" ref="E4:G4" ca="1" si="0">RANDBETWEEN(2,5)</f>
        <v>2</v>
      </c>
      <c r="F4" s="45">
        <f t="shared" ca="1" si="0"/>
        <v>2</v>
      </c>
      <c r="G4" s="45">
        <f t="shared" ca="1" si="0"/>
        <v>4</v>
      </c>
      <c r="H4" s="57">
        <f ca="1">AVERAGE(D4:G4)</f>
        <v>2.75</v>
      </c>
      <c r="I4" s="54">
        <f ca="1">SUM(D4:G4)</f>
        <v>11</v>
      </c>
      <c r="J4" s="55" t="str">
        <f ca="1">IF(H4&gt;=3,B4,"")</f>
        <v/>
      </c>
      <c r="K4" s="55" t="str">
        <f ca="1">IF(H4=5,"+","")</f>
        <v/>
      </c>
      <c r="L4" s="55" t="str">
        <f ca="1">IF(SUM(D4:G4)&gt;=12,"да","нет")</f>
        <v>нет</v>
      </c>
    </row>
    <row r="5" spans="1:21" ht="18.600000000000001" thickBot="1" x14ac:dyDescent="0.35">
      <c r="A5" s="10">
        <v>2</v>
      </c>
      <c r="B5" s="11" t="s">
        <v>43</v>
      </c>
      <c r="C5" s="9" t="s">
        <v>16</v>
      </c>
      <c r="D5" s="45">
        <f t="shared" ref="D5:G18" ca="1" si="1">RANDBETWEEN(2,5)</f>
        <v>2</v>
      </c>
      <c r="E5" s="45">
        <f t="shared" ca="1" si="1"/>
        <v>3</v>
      </c>
      <c r="F5" s="45">
        <f t="shared" ca="1" si="1"/>
        <v>2</v>
      </c>
      <c r="G5" s="45">
        <f t="shared" ca="1" si="1"/>
        <v>2</v>
      </c>
      <c r="H5" s="57">
        <f t="shared" ref="H5:H18" ca="1" si="2">AVERAGE(D5:G5)</f>
        <v>2.25</v>
      </c>
      <c r="I5" s="54">
        <f t="shared" ref="I5:I18" ca="1" si="3">SUM(D5:G5)</f>
        <v>9</v>
      </c>
      <c r="J5" s="55" t="str">
        <f t="shared" ref="J5:J18" ca="1" si="4">IF(H5&gt;=3,B5,"")</f>
        <v/>
      </c>
      <c r="K5" s="55" t="str">
        <f t="shared" ref="K5:K18" ca="1" si="5">IF(H5=5,"+","")</f>
        <v/>
      </c>
      <c r="L5" s="55" t="str">
        <f t="shared" ref="L5:L18" ca="1" si="6">IF(SUM(D5:G5)&gt;=12,"да","нет")</f>
        <v>нет</v>
      </c>
    </row>
    <row r="6" spans="1:21" ht="18.600000000000001" thickBot="1" x14ac:dyDescent="0.35">
      <c r="A6" s="10">
        <v>3</v>
      </c>
      <c r="B6" s="40" t="s">
        <v>44</v>
      </c>
      <c r="C6" s="37" t="s">
        <v>16</v>
      </c>
      <c r="D6" s="45">
        <f t="shared" ca="1" si="1"/>
        <v>2</v>
      </c>
      <c r="E6" s="45">
        <f t="shared" ca="1" si="1"/>
        <v>2</v>
      </c>
      <c r="F6" s="45">
        <f t="shared" ca="1" si="1"/>
        <v>5</v>
      </c>
      <c r="G6" s="45">
        <f t="shared" ca="1" si="1"/>
        <v>2</v>
      </c>
      <c r="H6" s="57">
        <f t="shared" ca="1" si="2"/>
        <v>2.75</v>
      </c>
      <c r="I6" s="54">
        <f t="shared" ca="1" si="3"/>
        <v>11</v>
      </c>
      <c r="J6" s="55" t="str">
        <f t="shared" ca="1" si="4"/>
        <v/>
      </c>
      <c r="K6" s="55" t="str">
        <f t="shared" ca="1" si="5"/>
        <v/>
      </c>
      <c r="L6" s="55" t="str">
        <f t="shared" ca="1" si="6"/>
        <v>нет</v>
      </c>
    </row>
    <row r="7" spans="1:21" ht="18.600000000000001" thickBot="1" x14ac:dyDescent="0.35">
      <c r="A7" s="36">
        <v>4</v>
      </c>
      <c r="B7" s="46" t="s">
        <v>45</v>
      </c>
      <c r="C7" s="47" t="s">
        <v>16</v>
      </c>
      <c r="D7" s="45">
        <f t="shared" ca="1" si="1"/>
        <v>5</v>
      </c>
      <c r="E7" s="45">
        <f t="shared" ca="1" si="1"/>
        <v>2</v>
      </c>
      <c r="F7" s="45">
        <f t="shared" ca="1" si="1"/>
        <v>5</v>
      </c>
      <c r="G7" s="45">
        <f t="shared" ca="1" si="1"/>
        <v>4</v>
      </c>
      <c r="H7" s="57">
        <f t="shared" ca="1" si="2"/>
        <v>4</v>
      </c>
      <c r="I7" s="54">
        <f t="shared" ca="1" si="3"/>
        <v>16</v>
      </c>
      <c r="J7" s="55" t="str">
        <f t="shared" ca="1" si="4"/>
        <v>Сайбитинов Д.</v>
      </c>
      <c r="K7" s="55" t="str">
        <f t="shared" ca="1" si="5"/>
        <v/>
      </c>
      <c r="L7" s="55" t="str">
        <f t="shared" ca="1" si="6"/>
        <v>да</v>
      </c>
    </row>
    <row r="8" spans="1:21" ht="18.600000000000001" thickBot="1" x14ac:dyDescent="0.35">
      <c r="A8" s="36">
        <v>5</v>
      </c>
      <c r="B8" s="46" t="s">
        <v>46</v>
      </c>
      <c r="C8" s="47" t="s">
        <v>16</v>
      </c>
      <c r="D8" s="45">
        <f t="shared" ca="1" si="1"/>
        <v>4</v>
      </c>
      <c r="E8" s="45">
        <f t="shared" ca="1" si="1"/>
        <v>5</v>
      </c>
      <c r="F8" s="45">
        <f t="shared" ca="1" si="1"/>
        <v>2</v>
      </c>
      <c r="G8" s="45">
        <f t="shared" ca="1" si="1"/>
        <v>2</v>
      </c>
      <c r="H8" s="57">
        <f t="shared" ca="1" si="2"/>
        <v>3.25</v>
      </c>
      <c r="I8" s="54">
        <f t="shared" ca="1" si="3"/>
        <v>13</v>
      </c>
      <c r="J8" s="55" t="str">
        <f t="shared" ca="1" si="4"/>
        <v>Канев Ф.</v>
      </c>
      <c r="K8" s="55" t="str">
        <f t="shared" ca="1" si="5"/>
        <v/>
      </c>
      <c r="L8" s="55" t="str">
        <f t="shared" ca="1" si="6"/>
        <v>да</v>
      </c>
    </row>
    <row r="9" spans="1:21" ht="18.600000000000001" thickBot="1" x14ac:dyDescent="0.35">
      <c r="A9" s="36">
        <v>6</v>
      </c>
      <c r="B9" s="46" t="s">
        <v>47</v>
      </c>
      <c r="C9" s="47" t="s">
        <v>16</v>
      </c>
      <c r="D9" s="45">
        <v>5</v>
      </c>
      <c r="E9" s="45">
        <v>5</v>
      </c>
      <c r="F9" s="45">
        <v>5</v>
      </c>
      <c r="G9" s="45">
        <v>5</v>
      </c>
      <c r="H9" s="57">
        <f t="shared" si="2"/>
        <v>5</v>
      </c>
      <c r="I9" s="54">
        <f t="shared" si="3"/>
        <v>20</v>
      </c>
      <c r="J9" s="55" t="str">
        <f t="shared" si="4"/>
        <v>Костюк Н.</v>
      </c>
      <c r="K9" s="55" t="str">
        <f t="shared" si="5"/>
        <v>+</v>
      </c>
      <c r="L9" s="55" t="str">
        <f t="shared" si="6"/>
        <v>да</v>
      </c>
    </row>
    <row r="10" spans="1:21" ht="18.600000000000001" thickBot="1" x14ac:dyDescent="0.35">
      <c r="A10" s="36">
        <v>7</v>
      </c>
      <c r="B10" s="46" t="s">
        <v>48</v>
      </c>
      <c r="C10" s="47" t="s">
        <v>16</v>
      </c>
      <c r="D10" s="45">
        <f t="shared" ca="1" si="1"/>
        <v>5</v>
      </c>
      <c r="E10" s="45">
        <f t="shared" ca="1" si="1"/>
        <v>2</v>
      </c>
      <c r="F10" s="45">
        <f t="shared" ca="1" si="1"/>
        <v>5</v>
      </c>
      <c r="G10" s="45">
        <f t="shared" ca="1" si="1"/>
        <v>2</v>
      </c>
      <c r="H10" s="57">
        <f t="shared" ca="1" si="2"/>
        <v>3.5</v>
      </c>
      <c r="I10" s="54">
        <f t="shared" ca="1" si="3"/>
        <v>14</v>
      </c>
      <c r="J10" s="55" t="str">
        <f t="shared" ca="1" si="4"/>
        <v>Сироткин Д.</v>
      </c>
      <c r="K10" s="55" t="str">
        <f t="shared" ca="1" si="5"/>
        <v/>
      </c>
      <c r="L10" s="55" t="str">
        <f t="shared" ca="1" si="6"/>
        <v>да</v>
      </c>
    </row>
    <row r="11" spans="1:21" ht="18.600000000000001" thickBot="1" x14ac:dyDescent="0.35">
      <c r="A11" s="36">
        <v>8</v>
      </c>
      <c r="B11" s="46" t="s">
        <v>49</v>
      </c>
      <c r="C11" s="47" t="s">
        <v>16</v>
      </c>
      <c r="D11" s="45">
        <v>5</v>
      </c>
      <c r="E11" s="45">
        <v>5</v>
      </c>
      <c r="F11" s="45">
        <v>5</v>
      </c>
      <c r="G11" s="45">
        <v>5</v>
      </c>
      <c r="H11" s="57">
        <f t="shared" si="2"/>
        <v>5</v>
      </c>
      <c r="I11" s="54">
        <f t="shared" si="3"/>
        <v>20</v>
      </c>
      <c r="J11" s="55" t="str">
        <f t="shared" si="4"/>
        <v>Савельева Т.</v>
      </c>
      <c r="K11" s="55" t="str">
        <f t="shared" si="5"/>
        <v>+</v>
      </c>
      <c r="L11" s="55" t="str">
        <f t="shared" si="6"/>
        <v>да</v>
      </c>
    </row>
    <row r="12" spans="1:21" ht="18.600000000000001" thickBot="1" x14ac:dyDescent="0.35">
      <c r="A12" s="36">
        <v>9</v>
      </c>
      <c r="B12" s="46" t="s">
        <v>50</v>
      </c>
      <c r="C12" s="47" t="s">
        <v>16</v>
      </c>
      <c r="D12" s="45">
        <v>5</v>
      </c>
      <c r="E12" s="45">
        <v>5</v>
      </c>
      <c r="F12" s="45">
        <v>5</v>
      </c>
      <c r="G12" s="45">
        <v>5</v>
      </c>
      <c r="H12" s="57">
        <f t="shared" si="2"/>
        <v>5</v>
      </c>
      <c r="I12" s="54">
        <f t="shared" si="3"/>
        <v>20</v>
      </c>
      <c r="J12" s="55" t="str">
        <f t="shared" si="4"/>
        <v xml:space="preserve">Крашенинникова А. </v>
      </c>
      <c r="K12" s="55" t="str">
        <f t="shared" si="5"/>
        <v>+</v>
      </c>
      <c r="L12" s="55" t="str">
        <f t="shared" si="6"/>
        <v>да</v>
      </c>
    </row>
    <row r="13" spans="1:21" ht="18.600000000000001" thickBot="1" x14ac:dyDescent="0.35">
      <c r="A13" s="36">
        <v>10</v>
      </c>
      <c r="B13" s="46" t="s">
        <v>51</v>
      </c>
      <c r="C13" s="47" t="s">
        <v>16</v>
      </c>
      <c r="D13" s="45">
        <f t="shared" ca="1" si="1"/>
        <v>5</v>
      </c>
      <c r="E13" s="45">
        <f t="shared" ca="1" si="1"/>
        <v>3</v>
      </c>
      <c r="F13" s="45">
        <f t="shared" ca="1" si="1"/>
        <v>4</v>
      </c>
      <c r="G13" s="45">
        <f t="shared" ca="1" si="1"/>
        <v>2</v>
      </c>
      <c r="H13" s="57">
        <f t="shared" ca="1" si="2"/>
        <v>3.5</v>
      </c>
      <c r="I13" s="54">
        <f t="shared" ca="1" si="3"/>
        <v>14</v>
      </c>
      <c r="J13" s="55" t="str">
        <f t="shared" ca="1" si="4"/>
        <v>Кучеренко Е.</v>
      </c>
      <c r="K13" s="55" t="str">
        <f t="shared" ca="1" si="5"/>
        <v/>
      </c>
      <c r="L13" s="55" t="str">
        <f t="shared" ca="1" si="6"/>
        <v>да</v>
      </c>
    </row>
    <row r="14" spans="1:21" ht="18.600000000000001" thickBot="1" x14ac:dyDescent="0.35">
      <c r="A14" s="36">
        <v>11</v>
      </c>
      <c r="B14" s="46" t="s">
        <v>52</v>
      </c>
      <c r="C14" s="47" t="s">
        <v>16</v>
      </c>
      <c r="D14" s="45">
        <f t="shared" ca="1" si="1"/>
        <v>4</v>
      </c>
      <c r="E14" s="45">
        <f t="shared" ca="1" si="1"/>
        <v>3</v>
      </c>
      <c r="F14" s="45">
        <f t="shared" ca="1" si="1"/>
        <v>5</v>
      </c>
      <c r="G14" s="45">
        <f t="shared" ca="1" si="1"/>
        <v>5</v>
      </c>
      <c r="H14" s="57">
        <f t="shared" ca="1" si="2"/>
        <v>4.25</v>
      </c>
      <c r="I14" s="54">
        <f t="shared" ca="1" si="3"/>
        <v>17</v>
      </c>
      <c r="J14" s="55" t="str">
        <f t="shared" ca="1" si="4"/>
        <v>Шевченко Г.</v>
      </c>
      <c r="K14" s="55" t="str">
        <f t="shared" ca="1" si="5"/>
        <v/>
      </c>
      <c r="L14" s="55" t="str">
        <f t="shared" ca="1" si="6"/>
        <v>да</v>
      </c>
    </row>
    <row r="15" spans="1:21" ht="18.600000000000001" thickBot="1" x14ac:dyDescent="0.35">
      <c r="A15" s="36">
        <v>12</v>
      </c>
      <c r="B15" s="46" t="s">
        <v>53</v>
      </c>
      <c r="C15" s="47" t="s">
        <v>16</v>
      </c>
      <c r="D15" s="45">
        <f t="shared" ca="1" si="1"/>
        <v>5</v>
      </c>
      <c r="E15" s="45">
        <f t="shared" ca="1" si="1"/>
        <v>4</v>
      </c>
      <c r="F15" s="45">
        <f t="shared" ca="1" si="1"/>
        <v>5</v>
      </c>
      <c r="G15" s="45">
        <f t="shared" ca="1" si="1"/>
        <v>5</v>
      </c>
      <c r="H15" s="57">
        <f t="shared" ca="1" si="2"/>
        <v>4.75</v>
      </c>
      <c r="I15" s="54">
        <f t="shared" ca="1" si="3"/>
        <v>19</v>
      </c>
      <c r="J15" s="55" t="str">
        <f t="shared" ca="1" si="4"/>
        <v>Шапран Д.</v>
      </c>
      <c r="K15" s="55" t="str">
        <f t="shared" ca="1" si="5"/>
        <v/>
      </c>
      <c r="L15" s="55" t="str">
        <f t="shared" ca="1" si="6"/>
        <v>да</v>
      </c>
    </row>
    <row r="16" spans="1:21" ht="18.600000000000001" thickBot="1" x14ac:dyDescent="0.35">
      <c r="A16" s="36">
        <v>13</v>
      </c>
      <c r="B16" s="46" t="s">
        <v>54</v>
      </c>
      <c r="C16" s="47" t="s">
        <v>16</v>
      </c>
      <c r="D16" s="45">
        <f t="shared" ca="1" si="1"/>
        <v>2</v>
      </c>
      <c r="E16" s="45">
        <f t="shared" ca="1" si="1"/>
        <v>4</v>
      </c>
      <c r="F16" s="45">
        <f t="shared" ca="1" si="1"/>
        <v>5</v>
      </c>
      <c r="G16" s="45">
        <f t="shared" ca="1" si="1"/>
        <v>3</v>
      </c>
      <c r="H16" s="57">
        <f t="shared" ca="1" si="2"/>
        <v>3.5</v>
      </c>
      <c r="I16" s="54">
        <f t="shared" ca="1" si="3"/>
        <v>14</v>
      </c>
      <c r="J16" s="55" t="str">
        <f t="shared" ca="1" si="4"/>
        <v>Доктер А.</v>
      </c>
      <c r="K16" s="55" t="str">
        <f t="shared" ca="1" si="5"/>
        <v/>
      </c>
      <c r="L16" s="55" t="str">
        <f t="shared" ca="1" si="6"/>
        <v>да</v>
      </c>
    </row>
    <row r="17" spans="1:12" ht="18.600000000000001" thickBot="1" x14ac:dyDescent="0.35">
      <c r="A17" s="36">
        <v>14</v>
      </c>
      <c r="B17" s="46" t="s">
        <v>55</v>
      </c>
      <c r="C17" s="47" t="s">
        <v>16</v>
      </c>
      <c r="D17" s="45">
        <f t="shared" ca="1" si="1"/>
        <v>3</v>
      </c>
      <c r="E17" s="45">
        <f t="shared" ca="1" si="1"/>
        <v>2</v>
      </c>
      <c r="F17" s="45">
        <f t="shared" ca="1" si="1"/>
        <v>2</v>
      </c>
      <c r="G17" s="45">
        <f t="shared" ca="1" si="1"/>
        <v>2</v>
      </c>
      <c r="H17" s="57">
        <f t="shared" ca="1" si="2"/>
        <v>2.25</v>
      </c>
      <c r="I17" s="54">
        <f t="shared" ca="1" si="3"/>
        <v>9</v>
      </c>
      <c r="J17" s="55" t="str">
        <f t="shared" ca="1" si="4"/>
        <v/>
      </c>
      <c r="K17" s="55" t="str">
        <f t="shared" ca="1" si="5"/>
        <v/>
      </c>
      <c r="L17" s="55" t="str">
        <f t="shared" ca="1" si="6"/>
        <v>нет</v>
      </c>
    </row>
    <row r="18" spans="1:12" ht="18.600000000000001" thickBot="1" x14ac:dyDescent="0.35">
      <c r="A18" s="36" t="s">
        <v>17</v>
      </c>
      <c r="B18" s="49" t="s">
        <v>41</v>
      </c>
      <c r="C18" s="47" t="s">
        <v>16</v>
      </c>
      <c r="D18" s="45">
        <f t="shared" ca="1" si="1"/>
        <v>4</v>
      </c>
      <c r="E18" s="45">
        <f t="shared" ca="1" si="1"/>
        <v>4</v>
      </c>
      <c r="F18" s="45">
        <f t="shared" ca="1" si="1"/>
        <v>4</v>
      </c>
      <c r="G18" s="45">
        <f t="shared" ca="1" si="1"/>
        <v>3</v>
      </c>
      <c r="H18" s="57">
        <f t="shared" ca="1" si="2"/>
        <v>3.75</v>
      </c>
      <c r="I18" s="54">
        <f t="shared" ca="1" si="3"/>
        <v>15</v>
      </c>
      <c r="J18" s="55" t="str">
        <f t="shared" ca="1" si="4"/>
        <v>Яковлев Н. И.</v>
      </c>
      <c r="K18" s="55" t="str">
        <f t="shared" ca="1" si="5"/>
        <v/>
      </c>
      <c r="L18" s="55" t="str">
        <f t="shared" ca="1" si="6"/>
        <v>да</v>
      </c>
    </row>
    <row r="19" spans="1:12" ht="39.6" customHeight="1" thickBot="1" x14ac:dyDescent="0.35">
      <c r="A19" s="24" t="s">
        <v>36</v>
      </c>
      <c r="B19" s="38"/>
      <c r="C19" s="39"/>
      <c r="D19" s="56">
        <f ca="1">AVERAGE(D4:D18)</f>
        <v>3.9333333333333331</v>
      </c>
      <c r="E19" s="56">
        <f t="shared" ref="E19:H19" ca="1" si="7">AVERAGE(E4:E18)</f>
        <v>3.4</v>
      </c>
      <c r="F19" s="56">
        <f t="shared" ca="1" si="7"/>
        <v>4.0666666666666664</v>
      </c>
      <c r="G19" s="56">
        <f t="shared" ca="1" si="7"/>
        <v>3.4</v>
      </c>
      <c r="H19" s="50"/>
      <c r="I19" s="51"/>
      <c r="J19" s="52" t="s">
        <v>37</v>
      </c>
      <c r="K19" s="53">
        <f ca="1">COUNTIF(K4:K18,"+")</f>
        <v>3</v>
      </c>
      <c r="L19" s="53">
        <f ca="1">COUNTIF(L4:L18,"да")</f>
        <v>11</v>
      </c>
    </row>
    <row r="20" spans="1:12" ht="15" thickBot="1" x14ac:dyDescent="0.3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ht="19.2" thickTop="1" thickBot="1" x14ac:dyDescent="0.35">
      <c r="A21" s="25" t="s">
        <v>38</v>
      </c>
      <c r="B21" s="26"/>
      <c r="C21" s="27"/>
      <c r="D21" s="12"/>
      <c r="E21" s="12"/>
      <c r="F21" s="12"/>
      <c r="G21" s="12"/>
      <c r="H21" s="12"/>
      <c r="I21" s="12"/>
      <c r="J21" s="12"/>
      <c r="K21" s="12"/>
      <c r="L21" s="12"/>
    </row>
    <row r="22" spans="1:12" ht="19.2" thickTop="1" thickBot="1" x14ac:dyDescent="0.35">
      <c r="A22" s="28" t="s">
        <v>39</v>
      </c>
      <c r="B22" s="29"/>
      <c r="C22" s="13">
        <f ca="1">COUNT(D4:G18)</f>
        <v>60</v>
      </c>
      <c r="D22" s="12"/>
      <c r="E22" s="12"/>
      <c r="F22" s="12"/>
      <c r="G22" s="12"/>
      <c r="H22" s="12"/>
      <c r="I22" s="12"/>
      <c r="J22" s="12"/>
      <c r="K22" s="12"/>
      <c r="L22" s="12"/>
    </row>
    <row r="23" spans="1:12" ht="18.600000000000001" thickBot="1" x14ac:dyDescent="0.35">
      <c r="A23" s="30" t="s">
        <v>40</v>
      </c>
      <c r="B23" s="31"/>
      <c r="C23" s="14"/>
      <c r="D23" s="12"/>
      <c r="E23" s="12"/>
      <c r="F23" s="12"/>
      <c r="G23" s="12"/>
      <c r="H23" s="12"/>
      <c r="I23" s="12"/>
      <c r="J23" s="12"/>
      <c r="K23" s="12"/>
      <c r="L23" s="12"/>
    </row>
    <row r="24" spans="1:12" ht="18.600000000000001" thickBot="1" x14ac:dyDescent="0.35">
      <c r="A24" s="32">
        <v>5</v>
      </c>
      <c r="B24" s="33"/>
      <c r="C24" s="13">
        <f ca="1">COUNTIF(D4:G18,"5")</f>
        <v>25</v>
      </c>
      <c r="D24" s="15"/>
      <c r="E24" s="15"/>
      <c r="F24" s="15"/>
      <c r="G24" s="12"/>
      <c r="H24" s="12"/>
      <c r="I24" s="12"/>
      <c r="J24" s="12"/>
      <c r="K24" s="12"/>
      <c r="L24" s="12"/>
    </row>
    <row r="25" spans="1:12" ht="18.600000000000001" thickBot="1" x14ac:dyDescent="0.35">
      <c r="A25" s="32">
        <v>4</v>
      </c>
      <c r="B25" s="33"/>
      <c r="C25" s="13">
        <f ca="1">COUNTIF(D5:G19,"4")</f>
        <v>9</v>
      </c>
      <c r="D25" s="12"/>
      <c r="E25" s="12"/>
      <c r="F25" s="12"/>
      <c r="G25" s="12"/>
      <c r="H25" s="12"/>
      <c r="I25" s="12"/>
      <c r="J25" s="12"/>
      <c r="K25" s="12"/>
      <c r="L25" s="12"/>
    </row>
    <row r="26" spans="1:12" ht="18.600000000000001" thickBot="1" x14ac:dyDescent="0.35">
      <c r="A26" s="32">
        <v>3</v>
      </c>
      <c r="B26" s="33"/>
      <c r="C26" s="13">
        <f ca="1">COUNTIF(D6:G20,"3")</f>
        <v>5</v>
      </c>
      <c r="D26" s="12"/>
      <c r="E26" s="12"/>
      <c r="F26" s="12"/>
      <c r="G26" s="12"/>
      <c r="H26" s="12"/>
      <c r="I26" s="12"/>
      <c r="J26" s="12"/>
      <c r="K26" s="12"/>
      <c r="L26" s="12"/>
    </row>
    <row r="27" spans="1:12" ht="18.600000000000001" thickBot="1" x14ac:dyDescent="0.35">
      <c r="A27" s="34">
        <v>2</v>
      </c>
      <c r="B27" s="35"/>
      <c r="C27" s="13">
        <f ca="1">COUNTIF(D7:G21,"2")</f>
        <v>10</v>
      </c>
      <c r="D27" s="12"/>
      <c r="E27" s="12"/>
      <c r="F27" s="12"/>
      <c r="G27" s="12"/>
      <c r="H27" s="12"/>
      <c r="I27" s="12"/>
      <c r="J27" s="12"/>
      <c r="K27" s="12"/>
      <c r="L27" s="12"/>
    </row>
    <row r="28" spans="1:12" ht="15" thickTop="1" x14ac:dyDescent="0.3"/>
  </sheetData>
  <mergeCells count="18">
    <mergeCell ref="A26:B26"/>
    <mergeCell ref="A27:B27"/>
    <mergeCell ref="A19:C19"/>
    <mergeCell ref="A21:C21"/>
    <mergeCell ref="A22:B22"/>
    <mergeCell ref="A23:B23"/>
    <mergeCell ref="A24:B24"/>
    <mergeCell ref="A25:B25"/>
    <mergeCell ref="A1:L1"/>
    <mergeCell ref="A2:A3"/>
    <mergeCell ref="B2:B3"/>
    <mergeCell ref="C2:C3"/>
    <mergeCell ref="D2:G2"/>
    <mergeCell ref="H2:H3"/>
    <mergeCell ref="I2:I3"/>
    <mergeCell ref="J2:J3"/>
    <mergeCell ref="K2:K3"/>
    <mergeCell ref="L2:L3"/>
  </mergeCells>
  <pageMargins left="0.7" right="0.7" top="0.75" bottom="0.75" header="0.3" footer="0.3"/>
  <pageSetup paperSize="9" orientation="portrait" r:id="rId1"/>
  <headerFooter>
    <oddHeader>&amp;R22-2162</oddHeader>
    <oddFooter>&amp;RДавыдов А.И.&amp;CЯковлев-9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1057F-7ED6-4B78-B8DE-A58271521139}">
  <dimension ref="A1:U24"/>
  <sheetViews>
    <sheetView zoomScale="85" zoomScaleNormal="85" workbookViewId="0">
      <selection activeCell="I19" sqref="I19"/>
    </sheetView>
  </sheetViews>
  <sheetFormatPr defaultRowHeight="14.4" x14ac:dyDescent="0.3"/>
  <cols>
    <col min="1" max="1" width="10.88671875" customWidth="1"/>
    <col min="2" max="2" width="23.88671875" customWidth="1"/>
    <col min="3" max="5" width="12.109375" customWidth="1"/>
    <col min="6" max="8" width="11.77734375" customWidth="1"/>
    <col min="10" max="10" width="20.88671875" bestFit="1" customWidth="1"/>
    <col min="19" max="19" width="8.21875" bestFit="1" customWidth="1"/>
    <col min="20" max="20" width="2" bestFit="1" customWidth="1"/>
    <col min="21" max="21" width="8.21875" bestFit="1" customWidth="1"/>
  </cols>
  <sheetData>
    <row r="1" spans="1:21" ht="18.600000000000001" thickBot="1" x14ac:dyDescent="0.35">
      <c r="A1" s="21" t="s">
        <v>56</v>
      </c>
      <c r="B1" s="20"/>
      <c r="C1" s="20"/>
      <c r="D1" s="20"/>
      <c r="E1" s="65"/>
      <c r="F1" s="12"/>
      <c r="G1" s="12"/>
      <c r="H1" s="12"/>
      <c r="I1" s="12"/>
      <c r="J1" s="12"/>
      <c r="S1" t="s">
        <v>13</v>
      </c>
      <c r="T1">
        <v>9</v>
      </c>
      <c r="U1" s="8" t="s">
        <v>13</v>
      </c>
    </row>
    <row r="2" spans="1:21" ht="18.600000000000001" thickBot="1" x14ac:dyDescent="0.35">
      <c r="A2" s="66" t="s">
        <v>57</v>
      </c>
      <c r="B2" s="67"/>
      <c r="C2" s="9" t="s">
        <v>58</v>
      </c>
      <c r="D2" s="9" t="s">
        <v>59</v>
      </c>
      <c r="E2" s="9" t="s">
        <v>60</v>
      </c>
      <c r="F2" s="15"/>
      <c r="G2" s="12"/>
      <c r="H2" s="12"/>
      <c r="I2" s="12"/>
      <c r="J2" s="12"/>
    </row>
    <row r="3" spans="1:21" ht="54" customHeight="1" thickBot="1" x14ac:dyDescent="0.35">
      <c r="A3" s="24" t="s">
        <v>61</v>
      </c>
      <c r="B3" s="68"/>
      <c r="C3" s="9">
        <v>25</v>
      </c>
      <c r="D3" s="9">
        <v>30</v>
      </c>
      <c r="E3" s="9">
        <v>45</v>
      </c>
      <c r="F3" s="12"/>
      <c r="G3" s="12"/>
      <c r="H3" s="12"/>
      <c r="I3" s="12"/>
      <c r="J3" s="12"/>
    </row>
    <row r="4" spans="1:21" ht="15" thickBot="1" x14ac:dyDescent="0.35">
      <c r="A4" s="12"/>
      <c r="B4" s="12"/>
      <c r="C4" s="12"/>
      <c r="D4" s="12"/>
      <c r="E4" s="12"/>
      <c r="F4" s="12"/>
      <c r="G4" s="12"/>
      <c r="H4" s="12"/>
      <c r="I4" s="12"/>
      <c r="J4" s="12"/>
    </row>
    <row r="5" spans="1:21" ht="19.2" thickTop="1" thickBot="1" x14ac:dyDescent="0.35">
      <c r="A5" s="25" t="s">
        <v>62</v>
      </c>
      <c r="B5" s="26"/>
      <c r="C5" s="26"/>
      <c r="D5" s="26"/>
      <c r="E5" s="26"/>
      <c r="F5" s="26"/>
      <c r="G5" s="26"/>
      <c r="H5" s="26"/>
      <c r="I5" s="27"/>
      <c r="J5" s="12"/>
    </row>
    <row r="6" spans="1:21" ht="19.2" thickTop="1" thickBot="1" x14ac:dyDescent="0.35">
      <c r="A6" s="69" t="s">
        <v>4</v>
      </c>
      <c r="B6" s="71" t="s">
        <v>1</v>
      </c>
      <c r="C6" s="73" t="s">
        <v>63</v>
      </c>
      <c r="D6" s="74"/>
      <c r="E6" s="75"/>
      <c r="F6" s="76" t="s">
        <v>64</v>
      </c>
      <c r="G6" s="74"/>
      <c r="H6" s="74"/>
      <c r="I6" s="75"/>
      <c r="J6" s="12"/>
    </row>
    <row r="7" spans="1:21" ht="18.600000000000001" thickBot="1" x14ac:dyDescent="0.35">
      <c r="A7" s="70"/>
      <c r="B7" s="72"/>
      <c r="C7" s="58" t="s">
        <v>58</v>
      </c>
      <c r="D7" s="58" t="s">
        <v>59</v>
      </c>
      <c r="E7" s="58" t="s">
        <v>60</v>
      </c>
      <c r="F7" s="58" t="s">
        <v>58</v>
      </c>
      <c r="G7" s="58" t="s">
        <v>59</v>
      </c>
      <c r="H7" s="59" t="s">
        <v>60</v>
      </c>
      <c r="I7" s="60" t="s">
        <v>37</v>
      </c>
      <c r="J7" s="61" t="s">
        <v>65</v>
      </c>
    </row>
    <row r="8" spans="1:21" ht="18.600000000000001" thickBot="1" x14ac:dyDescent="0.35">
      <c r="A8" s="62" t="s">
        <v>66</v>
      </c>
      <c r="B8" s="46" t="s">
        <v>48</v>
      </c>
      <c r="C8" s="84">
        <f ca="1">RAND()</f>
        <v>3.2653998128749362E-2</v>
      </c>
      <c r="D8" s="84">
        <f t="shared" ref="D8:E8" ca="1" si="0">RAND()</f>
        <v>0.47436771422488733</v>
      </c>
      <c r="E8" s="84">
        <f t="shared" ca="1" si="0"/>
        <v>0.42548054830683191</v>
      </c>
      <c r="F8" s="85">
        <f ca="1">ROUNDUP(C$3*C8, 2)</f>
        <v>0.82000000000000006</v>
      </c>
      <c r="G8" s="85">
        <f t="shared" ref="G8:H8" ca="1" si="1">ROUNDUP(D$3*D8, 1)</f>
        <v>14.299999999999999</v>
      </c>
      <c r="H8" s="85">
        <f t="shared" ca="1" si="1"/>
        <v>19.200000000000003</v>
      </c>
      <c r="I8" s="86">
        <f ca="1">SUM(F8:H8)</f>
        <v>34.32</v>
      </c>
      <c r="J8" s="87">
        <f ca="1">SUMPRODUCT(C8:E8,$C$3:$E$3)</f>
        <v>34.194006053772796</v>
      </c>
    </row>
    <row r="9" spans="1:21" ht="18.600000000000001" thickBot="1" x14ac:dyDescent="0.35">
      <c r="A9" s="62" t="s">
        <v>66</v>
      </c>
      <c r="B9" s="46" t="s">
        <v>49</v>
      </c>
      <c r="C9" s="84">
        <f t="shared" ref="C9:E16" ca="1" si="2">RAND()</f>
        <v>5.8699639757455291E-2</v>
      </c>
      <c r="D9" s="84">
        <f t="shared" ca="1" si="2"/>
        <v>0.88003241740668925</v>
      </c>
      <c r="E9" s="84">
        <f t="shared" ca="1" si="2"/>
        <v>0.68211364218275949</v>
      </c>
      <c r="F9" s="85">
        <f t="shared" ref="F9:F16" ca="1" si="3">ROUNDUP(C$3*C9, 1)</f>
        <v>1.5</v>
      </c>
      <c r="G9" s="85">
        <f t="shared" ref="G9:G16" ca="1" si="4">ROUNDUP(D$3*D9, 1)</f>
        <v>26.5</v>
      </c>
      <c r="H9" s="85">
        <f t="shared" ref="H9:H16" ca="1" si="5">ROUNDUP(E$3*E9, 1)</f>
        <v>30.700000000000003</v>
      </c>
      <c r="I9" s="86">
        <f t="shared" ref="I9:I16" ca="1" si="6">SUM(F9:H9)</f>
        <v>58.7</v>
      </c>
      <c r="J9" s="87">
        <f t="shared" ref="J9:J16" ca="1" si="7">SUMPRODUCT(C9:E9,$C$3:$E$3)</f>
        <v>58.563577414361241</v>
      </c>
    </row>
    <row r="10" spans="1:21" ht="18.600000000000001" thickBot="1" x14ac:dyDescent="0.35">
      <c r="A10" s="62" t="s">
        <v>67</v>
      </c>
      <c r="B10" s="46" t="s">
        <v>50</v>
      </c>
      <c r="C10" s="84">
        <f t="shared" ca="1" si="2"/>
        <v>0.61984032014269197</v>
      </c>
      <c r="D10" s="84">
        <f t="shared" ca="1" si="2"/>
        <v>0.87198364019463415</v>
      </c>
      <c r="E10" s="84">
        <f t="shared" ca="1" si="2"/>
        <v>0.62941336397657155</v>
      </c>
      <c r="F10" s="85">
        <f t="shared" ca="1" si="3"/>
        <v>15.5</v>
      </c>
      <c r="G10" s="85">
        <f t="shared" ca="1" si="4"/>
        <v>26.200000000000003</v>
      </c>
      <c r="H10" s="85">
        <f t="shared" ca="1" si="5"/>
        <v>28.400000000000002</v>
      </c>
      <c r="I10" s="86">
        <f t="shared" ca="1" si="6"/>
        <v>70.100000000000009</v>
      </c>
      <c r="J10" s="87">
        <f t="shared" ca="1" si="7"/>
        <v>69.979118588352051</v>
      </c>
    </row>
    <row r="11" spans="1:21" ht="18.600000000000001" thickBot="1" x14ac:dyDescent="0.35">
      <c r="A11" s="62" t="s">
        <v>68</v>
      </c>
      <c r="B11" s="46" t="s">
        <v>51</v>
      </c>
      <c r="C11" s="84">
        <f t="shared" ca="1" si="2"/>
        <v>0.74700284888076518</v>
      </c>
      <c r="D11" s="84">
        <f t="shared" ca="1" si="2"/>
        <v>0.78544413733318408</v>
      </c>
      <c r="E11" s="84">
        <f t="shared" ca="1" si="2"/>
        <v>0.24609403230862115</v>
      </c>
      <c r="F11" s="85">
        <f t="shared" ca="1" si="3"/>
        <v>18.700000000000003</v>
      </c>
      <c r="G11" s="85">
        <f t="shared" ca="1" si="4"/>
        <v>23.6</v>
      </c>
      <c r="H11" s="85">
        <f t="shared" ca="1" si="5"/>
        <v>11.1</v>
      </c>
      <c r="I11" s="86">
        <f t="shared" ca="1" si="6"/>
        <v>53.400000000000006</v>
      </c>
      <c r="J11" s="87">
        <f t="shared" ca="1" si="7"/>
        <v>53.312626795902609</v>
      </c>
    </row>
    <row r="12" spans="1:21" ht="18.600000000000001" thickBot="1" x14ac:dyDescent="0.35">
      <c r="A12" s="62" t="s">
        <v>67</v>
      </c>
      <c r="B12" s="46" t="s">
        <v>52</v>
      </c>
      <c r="C12" s="84">
        <f t="shared" ca="1" si="2"/>
        <v>0.77733464294525823</v>
      </c>
      <c r="D12" s="84">
        <f t="shared" ca="1" si="2"/>
        <v>0.9638796662501854</v>
      </c>
      <c r="E12" s="84">
        <f t="shared" ca="1" si="2"/>
        <v>0.1638993454323443</v>
      </c>
      <c r="F12" s="85">
        <f t="shared" ca="1" si="3"/>
        <v>19.5</v>
      </c>
      <c r="G12" s="85">
        <f t="shared" ca="1" si="4"/>
        <v>29</v>
      </c>
      <c r="H12" s="85">
        <f t="shared" ca="1" si="5"/>
        <v>7.3999999999999995</v>
      </c>
      <c r="I12" s="86">
        <f t="shared" ca="1" si="6"/>
        <v>55.9</v>
      </c>
      <c r="J12" s="87">
        <f t="shared" ca="1" si="7"/>
        <v>55.725226605592511</v>
      </c>
    </row>
    <row r="13" spans="1:21" ht="18.600000000000001" thickBot="1" x14ac:dyDescent="0.35">
      <c r="A13" s="62" t="s">
        <v>68</v>
      </c>
      <c r="B13" s="46" t="s">
        <v>53</v>
      </c>
      <c r="C13" s="84">
        <f t="shared" ca="1" si="2"/>
        <v>0.4816311894683778</v>
      </c>
      <c r="D13" s="84">
        <f t="shared" ca="1" si="2"/>
        <v>0.57030962217781311</v>
      </c>
      <c r="E13" s="84">
        <f t="shared" ca="1" si="2"/>
        <v>0.73813958294048942</v>
      </c>
      <c r="F13" s="85">
        <f t="shared" ca="1" si="3"/>
        <v>12.1</v>
      </c>
      <c r="G13" s="85">
        <f t="shared" ca="1" si="4"/>
        <v>17.200000000000003</v>
      </c>
      <c r="H13" s="85">
        <f t="shared" ca="1" si="5"/>
        <v>33.300000000000004</v>
      </c>
      <c r="I13" s="86">
        <f t="shared" ca="1" si="6"/>
        <v>62.600000000000009</v>
      </c>
      <c r="J13" s="87">
        <f t="shared" ca="1" si="7"/>
        <v>62.366349634365861</v>
      </c>
    </row>
    <row r="14" spans="1:21" ht="18.600000000000001" thickBot="1" x14ac:dyDescent="0.35">
      <c r="A14" s="62" t="s">
        <v>67</v>
      </c>
      <c r="B14" s="46" t="s">
        <v>54</v>
      </c>
      <c r="C14" s="84">
        <f t="shared" ca="1" si="2"/>
        <v>0.15574705564971192</v>
      </c>
      <c r="D14" s="84">
        <f t="shared" ca="1" si="2"/>
        <v>0.88085548502024325</v>
      </c>
      <c r="E14" s="84">
        <f t="shared" ca="1" si="2"/>
        <v>0.96478461980619645</v>
      </c>
      <c r="F14" s="85">
        <f t="shared" ca="1" si="3"/>
        <v>3.9</v>
      </c>
      <c r="G14" s="85">
        <f t="shared" ca="1" si="4"/>
        <v>26.5</v>
      </c>
      <c r="H14" s="85">
        <f t="shared" ca="1" si="5"/>
        <v>43.5</v>
      </c>
      <c r="I14" s="86">
        <f t="shared" ca="1" si="6"/>
        <v>73.900000000000006</v>
      </c>
      <c r="J14" s="87">
        <f t="shared" ca="1" si="7"/>
        <v>73.734648833128944</v>
      </c>
    </row>
    <row r="15" spans="1:21" ht="18.600000000000001" thickBot="1" x14ac:dyDescent="0.35">
      <c r="A15" s="62" t="s">
        <v>66</v>
      </c>
      <c r="B15" s="46" t="s">
        <v>55</v>
      </c>
      <c r="C15" s="84">
        <f t="shared" ca="1" si="2"/>
        <v>0.75654388630869973</v>
      </c>
      <c r="D15" s="84">
        <f t="shared" ca="1" si="2"/>
        <v>0.21385566752594687</v>
      </c>
      <c r="E15" s="84">
        <f t="shared" ca="1" si="2"/>
        <v>6.8275853433245937E-2</v>
      </c>
      <c r="F15" s="85">
        <f t="shared" ca="1" si="3"/>
        <v>19</v>
      </c>
      <c r="G15" s="85">
        <f t="shared" ca="1" si="4"/>
        <v>6.5</v>
      </c>
      <c r="H15" s="85">
        <f t="shared" ca="1" si="5"/>
        <v>3.1</v>
      </c>
      <c r="I15" s="86">
        <f t="shared" ca="1" si="6"/>
        <v>28.6</v>
      </c>
      <c r="J15" s="87">
        <f t="shared" ca="1" si="7"/>
        <v>28.401680587991969</v>
      </c>
    </row>
    <row r="16" spans="1:21" ht="18.600000000000001" thickBot="1" x14ac:dyDescent="0.35">
      <c r="A16" s="63" t="s">
        <v>67</v>
      </c>
      <c r="B16" s="49" t="s">
        <v>41</v>
      </c>
      <c r="C16" s="84">
        <f t="shared" ca="1" si="2"/>
        <v>0.90133986910000419</v>
      </c>
      <c r="D16" s="84">
        <f t="shared" ca="1" si="2"/>
        <v>0.35035046882848608</v>
      </c>
      <c r="E16" s="84">
        <f t="shared" ca="1" si="2"/>
        <v>0.72752531239314933</v>
      </c>
      <c r="F16" s="85">
        <f t="shared" ca="1" si="3"/>
        <v>22.6</v>
      </c>
      <c r="G16" s="85">
        <f t="shared" ca="1" si="4"/>
        <v>10.6</v>
      </c>
      <c r="H16" s="85">
        <f t="shared" ca="1" si="5"/>
        <v>32.800000000000004</v>
      </c>
      <c r="I16" s="86">
        <f t="shared" ca="1" si="6"/>
        <v>66</v>
      </c>
      <c r="J16" s="87">
        <f t="shared" ca="1" si="7"/>
        <v>65.782649850046397</v>
      </c>
    </row>
    <row r="17" spans="1:10" ht="19.2" thickTop="1" thickBot="1" x14ac:dyDescent="0.35">
      <c r="A17" s="12"/>
      <c r="B17" s="83"/>
      <c r="C17" s="12"/>
      <c r="D17" s="12"/>
      <c r="E17" s="12"/>
      <c r="F17" s="12"/>
      <c r="G17" s="12"/>
      <c r="H17" s="15"/>
      <c r="I17" s="15"/>
      <c r="J17" s="15"/>
    </row>
    <row r="18" spans="1:10" ht="19.2" thickTop="1" thickBot="1" x14ac:dyDescent="0.35">
      <c r="A18" s="25" t="s">
        <v>69</v>
      </c>
      <c r="B18" s="26"/>
      <c r="C18" s="26"/>
      <c r="D18" s="26"/>
      <c r="E18" s="26"/>
      <c r="F18" s="27"/>
      <c r="G18" s="12"/>
      <c r="H18" s="12"/>
      <c r="I18" s="12"/>
      <c r="J18" s="12"/>
    </row>
    <row r="19" spans="1:10" ht="89.4" customHeight="1" thickTop="1" thickBot="1" x14ac:dyDescent="0.35">
      <c r="A19" s="69" t="s">
        <v>4</v>
      </c>
      <c r="B19" s="77" t="s">
        <v>70</v>
      </c>
      <c r="C19" s="28" t="s">
        <v>71</v>
      </c>
      <c r="D19" s="79"/>
      <c r="E19" s="80"/>
      <c r="F19" s="81" t="s">
        <v>72</v>
      </c>
      <c r="G19" s="12"/>
      <c r="H19" s="12"/>
      <c r="I19" s="12"/>
      <c r="J19" s="12"/>
    </row>
    <row r="20" spans="1:10" ht="18.600000000000001" thickBot="1" x14ac:dyDescent="0.35">
      <c r="A20" s="70"/>
      <c r="B20" s="78"/>
      <c r="C20" s="63" t="s">
        <v>58</v>
      </c>
      <c r="D20" s="58" t="s">
        <v>59</v>
      </c>
      <c r="E20" s="58" t="s">
        <v>60</v>
      </c>
      <c r="F20" s="82"/>
      <c r="G20" s="12"/>
      <c r="H20" s="12"/>
      <c r="I20" s="12"/>
      <c r="J20" s="12"/>
    </row>
    <row r="21" spans="1:10" ht="18.600000000000001" thickBot="1" x14ac:dyDescent="0.35">
      <c r="A21" s="62" t="s">
        <v>66</v>
      </c>
      <c r="B21" s="64">
        <f>COUNTIF($A$8:$A$16,A21)</f>
        <v>3</v>
      </c>
      <c r="C21" s="88">
        <f ca="1">SUMIF($A$8:$A$16,$A21,F$8:F$16)</f>
        <v>21.32</v>
      </c>
      <c r="D21" s="88">
        <f t="shared" ref="D21:E21" ca="1" si="8">SUMIF($A$8:$A$16,$A21,G$8:G$16)</f>
        <v>47.3</v>
      </c>
      <c r="E21" s="88">
        <f ca="1">SUMIF($A$8:$A$16,$A21,H$8:H$16)</f>
        <v>53.000000000000007</v>
      </c>
      <c r="F21" s="89">
        <f ca="1">SUMIF($A$8:$A$16,$A21,$I$8:$I$16)/$B21</f>
        <v>40.54</v>
      </c>
      <c r="G21" s="12"/>
      <c r="H21" s="12"/>
      <c r="I21" s="12"/>
      <c r="J21" s="12"/>
    </row>
    <row r="22" spans="1:10" ht="18.600000000000001" thickBot="1" x14ac:dyDescent="0.35">
      <c r="A22" s="62" t="s">
        <v>67</v>
      </c>
      <c r="B22" s="64">
        <f t="shared" ref="B22:B23" si="9">COUNTIF($A$8:$A$16,A22)</f>
        <v>4</v>
      </c>
      <c r="C22" s="88">
        <f t="shared" ref="C22:C23" ca="1" si="10">SUMIF($A$8:$A$16,$A22,F$8:F$16)</f>
        <v>61.5</v>
      </c>
      <c r="D22" s="88">
        <f ca="1">SUMIF($A$8:$A$16,$A22,G$8:G$16)</f>
        <v>92.3</v>
      </c>
      <c r="E22" s="88">
        <f t="shared" ref="E22:E23" ca="1" si="11">SUMIF($A$8:$A$16,$A22,H$8:H$16)</f>
        <v>112.10000000000002</v>
      </c>
      <c r="F22" s="89">
        <f ca="1">SUMIF($A$8:$A$16,$A22,$I$8:$I$16)/$B22</f>
        <v>66.474999999999994</v>
      </c>
      <c r="G22" s="12"/>
      <c r="H22" s="12"/>
      <c r="I22" s="12"/>
      <c r="J22" s="12"/>
    </row>
    <row r="23" spans="1:10" ht="18.600000000000001" thickBot="1" x14ac:dyDescent="0.35">
      <c r="A23" s="63" t="s">
        <v>68</v>
      </c>
      <c r="B23" s="64">
        <f t="shared" si="9"/>
        <v>2</v>
      </c>
      <c r="C23" s="88">
        <f ca="1">SUMIF($A$8:$A$16,$A23,F$8:F$16)</f>
        <v>30.800000000000004</v>
      </c>
      <c r="D23" s="88">
        <f t="shared" ref="D22:D23" ca="1" si="12">SUMIF($A$8:$A$16,$A23,G$8:G$16)</f>
        <v>40.800000000000004</v>
      </c>
      <c r="E23" s="88">
        <f t="shared" ca="1" si="11"/>
        <v>44.400000000000006</v>
      </c>
      <c r="F23" s="89">
        <f ca="1">SUMIF($A$8:$A$16,$A23,$I$8:$I$16)/$B23</f>
        <v>58.000000000000007</v>
      </c>
      <c r="G23" s="12"/>
      <c r="H23" s="12"/>
      <c r="I23" s="12"/>
      <c r="J23" s="12"/>
    </row>
    <row r="24" spans="1:10" ht="15" thickTop="1" x14ac:dyDescent="0.3"/>
  </sheetData>
  <mergeCells count="13">
    <mergeCell ref="A18:F18"/>
    <mergeCell ref="A19:A20"/>
    <mergeCell ref="B19:B20"/>
    <mergeCell ref="C19:E19"/>
    <mergeCell ref="F19:F20"/>
    <mergeCell ref="A1:E1"/>
    <mergeCell ref="A2:B2"/>
    <mergeCell ref="A3:B3"/>
    <mergeCell ref="A5:I5"/>
    <mergeCell ref="A6:A7"/>
    <mergeCell ref="B6:B7"/>
    <mergeCell ref="C6:E6"/>
    <mergeCell ref="F6:I6"/>
  </mergeCells>
  <dataValidations count="1">
    <dataValidation type="decimal" allowBlank="1" showInputMessage="1" showErrorMessage="1" errorTitle="Неправильный коэффициент" error="Вы пытаетесь задать значение для коэффициента, которое выходит за рамки диапозоне [0;1]" sqref="C8:E16" xr:uid="{A05EB6C1-BD38-402B-AD1D-097EEF75CF13}">
      <formula1>0</formula1>
      <formula2>1</formula2>
    </dataValidation>
  </dataValidations>
  <pageMargins left="0.7" right="0.7" top="0.75" bottom="0.75" header="0.3" footer="0.3"/>
  <pageSetup paperSize="9" orientation="portrait" r:id="rId1"/>
  <headerFooter>
    <oddFooter>&amp;CЯковлев-9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A6DF6-5819-4DB3-95E8-8377AB44433C}">
  <dimension ref="A1:U10"/>
  <sheetViews>
    <sheetView workbookViewId="0">
      <selection activeCell="E9" sqref="E9"/>
    </sheetView>
  </sheetViews>
  <sheetFormatPr defaultRowHeight="14.4" x14ac:dyDescent="0.3"/>
  <cols>
    <col min="19" max="19" width="8.109375" bestFit="1" customWidth="1"/>
    <col min="20" max="20" width="2" bestFit="1" customWidth="1"/>
    <col min="21" max="21" width="8.109375" bestFit="1" customWidth="1"/>
  </cols>
  <sheetData>
    <row r="1" spans="1:21" x14ac:dyDescent="0.3">
      <c r="S1" t="s">
        <v>13</v>
      </c>
      <c r="T1">
        <v>9</v>
      </c>
      <c r="U1" s="8" t="s">
        <v>13</v>
      </c>
    </row>
    <row r="6" spans="1:21" ht="15" thickBot="1" x14ac:dyDescent="0.35"/>
    <row r="7" spans="1:21" ht="15" thickBot="1" x14ac:dyDescent="0.35">
      <c r="A7" s="90" t="s">
        <v>75</v>
      </c>
      <c r="C7" s="90" t="s">
        <v>74</v>
      </c>
      <c r="D7" s="90" t="s">
        <v>73</v>
      </c>
    </row>
    <row r="8" spans="1:21" ht="15" thickBot="1" x14ac:dyDescent="0.35">
      <c r="A8" s="48">
        <v>2.5</v>
      </c>
      <c r="C8" s="48">
        <v>-0.5</v>
      </c>
      <c r="D8" s="91">
        <f t="shared" ref="D8:D9" si="0">IF(C8&lt;0,$A$8*POWER(SIN(ABS(C8)),2),IF(AND(0&lt;=C8,C8&lt;=5),EXP(0.2*$A$8*SQRT(C8)),LOG10(POWER(C8,2)) - (0.2*C8)))</f>
        <v>0.5746221176648254</v>
      </c>
    </row>
    <row r="9" spans="1:21" ht="15" thickBot="1" x14ac:dyDescent="0.35">
      <c r="C9" s="48">
        <v>5</v>
      </c>
      <c r="D9" s="91">
        <f t="shared" si="0"/>
        <v>3.0588345847072458</v>
      </c>
    </row>
    <row r="10" spans="1:21" ht="15" thickBot="1" x14ac:dyDescent="0.35">
      <c r="C10" s="48">
        <v>10.5</v>
      </c>
      <c r="D10" s="91">
        <f>IF(C10&lt;0,$A$8*POWER(SIN(ABS(C10)),2),IF(AND(0&lt;=C10,C10&lt;=5),EXP(0.2*$A$8*SQRT(C10)),LOG10(POWER(C10,2)) - (0.2*C10)))</f>
        <v>-5.7621401860123989E-2</v>
      </c>
    </row>
  </sheetData>
  <pageMargins left="0.7" right="0.7" top="0.75" bottom="0.75" header="0.3" footer="0.3"/>
  <pageSetup paperSize="9" orientation="portrait" r:id="rId1"/>
  <headerFooter>
    <oddFooter>&amp;CЯковлев-9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ED12-D5E9-4580-8E9D-CB715FF8E26C}">
  <dimension ref="A1:U9"/>
  <sheetViews>
    <sheetView workbookViewId="0">
      <selection activeCell="N9" sqref="N9"/>
    </sheetView>
  </sheetViews>
  <sheetFormatPr defaultRowHeight="14.4" x14ac:dyDescent="0.3"/>
  <cols>
    <col min="19" max="19" width="8.109375" bestFit="1" customWidth="1"/>
    <col min="20" max="20" width="2" bestFit="1" customWidth="1"/>
    <col min="21" max="21" width="8.109375" bestFit="1" customWidth="1"/>
  </cols>
  <sheetData>
    <row r="1" spans="1:21" ht="15" thickBot="1" x14ac:dyDescent="0.35">
      <c r="A1" s="90" t="s">
        <v>76</v>
      </c>
      <c r="B1" s="90" t="s">
        <v>77</v>
      </c>
      <c r="C1" s="90" t="s">
        <v>78</v>
      </c>
      <c r="D1" s="90" t="s">
        <v>79</v>
      </c>
      <c r="E1" s="90" t="s">
        <v>80</v>
      </c>
      <c r="F1" s="90" t="s">
        <v>81</v>
      </c>
      <c r="S1" t="s">
        <v>13</v>
      </c>
      <c r="T1">
        <v>9</v>
      </c>
      <c r="U1" s="8" t="s">
        <v>13</v>
      </c>
    </row>
    <row r="2" spans="1:21" ht="15" thickBot="1" x14ac:dyDescent="0.35">
      <c r="A2" s="50">
        <v>0</v>
      </c>
      <c r="B2" s="50">
        <v>0</v>
      </c>
      <c r="C2" s="50">
        <v>0</v>
      </c>
      <c r="D2" s="50" t="b">
        <f>AND(A2,B2)</f>
        <v>0</v>
      </c>
      <c r="E2" s="50" t="b">
        <f>OR(D2,C2)</f>
        <v>0</v>
      </c>
      <c r="F2" s="50" t="b">
        <f>NOT(E2)</f>
        <v>1</v>
      </c>
    </row>
    <row r="3" spans="1:21" ht="15" thickBot="1" x14ac:dyDescent="0.35">
      <c r="A3" s="50">
        <v>0</v>
      </c>
      <c r="B3" s="50">
        <v>0</v>
      </c>
      <c r="C3" s="50">
        <v>1</v>
      </c>
      <c r="D3" s="50" t="b">
        <f t="shared" ref="D3:D9" si="0">AND(A3,B3)</f>
        <v>0</v>
      </c>
      <c r="E3" s="50" t="b">
        <f t="shared" ref="E3:E9" si="1">OR(D3,C3)</f>
        <v>1</v>
      </c>
      <c r="F3" s="50" t="b">
        <f t="shared" ref="F3:F9" si="2">NOT(E3)</f>
        <v>0</v>
      </c>
    </row>
    <row r="4" spans="1:21" ht="15" thickBot="1" x14ac:dyDescent="0.35">
      <c r="A4" s="50">
        <v>0</v>
      </c>
      <c r="B4" s="50">
        <v>1</v>
      </c>
      <c r="C4" s="50">
        <v>0</v>
      </c>
      <c r="D4" s="50" t="b">
        <f t="shared" si="0"/>
        <v>0</v>
      </c>
      <c r="E4" s="50" t="b">
        <f t="shared" si="1"/>
        <v>0</v>
      </c>
      <c r="F4" s="50" t="b">
        <f t="shared" si="2"/>
        <v>1</v>
      </c>
    </row>
    <row r="5" spans="1:21" ht="15" thickBot="1" x14ac:dyDescent="0.35">
      <c r="A5" s="50">
        <v>1</v>
      </c>
      <c r="B5" s="50">
        <v>0</v>
      </c>
      <c r="C5" s="50">
        <v>0</v>
      </c>
      <c r="D5" s="50" t="b">
        <f t="shared" si="0"/>
        <v>0</v>
      </c>
      <c r="E5" s="50" t="b">
        <f t="shared" si="1"/>
        <v>0</v>
      </c>
      <c r="F5" s="50" t="b">
        <f t="shared" si="2"/>
        <v>1</v>
      </c>
    </row>
    <row r="6" spans="1:21" ht="15" thickBot="1" x14ac:dyDescent="0.35">
      <c r="A6" s="50">
        <v>0</v>
      </c>
      <c r="B6" s="50">
        <v>1</v>
      </c>
      <c r="C6" s="50">
        <v>1</v>
      </c>
      <c r="D6" s="50" t="b">
        <f t="shared" si="0"/>
        <v>0</v>
      </c>
      <c r="E6" s="50" t="b">
        <f t="shared" si="1"/>
        <v>1</v>
      </c>
      <c r="F6" s="50" t="b">
        <f t="shared" si="2"/>
        <v>0</v>
      </c>
    </row>
    <row r="7" spans="1:21" ht="15" thickBot="1" x14ac:dyDescent="0.35">
      <c r="A7" s="50">
        <v>1</v>
      </c>
      <c r="B7" s="50">
        <v>1</v>
      </c>
      <c r="C7" s="50">
        <v>0</v>
      </c>
      <c r="D7" s="50" t="b">
        <f t="shared" si="0"/>
        <v>1</v>
      </c>
      <c r="E7" s="50" t="b">
        <f t="shared" si="1"/>
        <v>1</v>
      </c>
      <c r="F7" s="50" t="b">
        <f t="shared" si="2"/>
        <v>0</v>
      </c>
    </row>
    <row r="8" spans="1:21" ht="15" thickBot="1" x14ac:dyDescent="0.35">
      <c r="A8" s="50">
        <v>1</v>
      </c>
      <c r="B8" s="50">
        <v>0</v>
      </c>
      <c r="C8" s="50">
        <v>1</v>
      </c>
      <c r="D8" s="50" t="b">
        <f t="shared" si="0"/>
        <v>0</v>
      </c>
      <c r="E8" s="50" t="b">
        <f t="shared" si="1"/>
        <v>1</v>
      </c>
      <c r="F8" s="50" t="b">
        <f t="shared" si="2"/>
        <v>0</v>
      </c>
    </row>
    <row r="9" spans="1:21" ht="15" thickBot="1" x14ac:dyDescent="0.35">
      <c r="A9" s="50">
        <v>1</v>
      </c>
      <c r="B9" s="50">
        <v>1</v>
      </c>
      <c r="C9" s="50">
        <v>1</v>
      </c>
      <c r="D9" s="50" t="b">
        <f>AND(A9,B9)</f>
        <v>1</v>
      </c>
      <c r="E9" s="50" t="b">
        <f t="shared" si="1"/>
        <v>1</v>
      </c>
      <c r="F9" s="50" t="b">
        <f t="shared" si="2"/>
        <v>0</v>
      </c>
    </row>
  </sheetData>
  <pageMargins left="0.7" right="0.7" top="0.75" bottom="0.75" header="0.3" footer="0.3"/>
  <pageSetup paperSize="9" orientation="portrait" r:id="rId1"/>
  <headerFooter>
    <oddFooter>&amp;CЯковлев-9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СлужЛист</vt:lpstr>
      <vt:lpstr>СлужЛист!Область_печати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/>
  <cp:keywords>Excel-Шаблон</cp:keywords>
  <dc:description>Яковлев 22м</dc:description>
  <cp:lastModifiedBy/>
  <dcterms:created xsi:type="dcterms:W3CDTF">2015-06-05T18:19:34Z</dcterms:created>
  <dcterms:modified xsi:type="dcterms:W3CDTF">2022-11-25T06:31:14Z</dcterms:modified>
</cp:coreProperties>
</file>